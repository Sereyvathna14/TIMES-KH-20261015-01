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15\"/>
    </mc:Choice>
  </mc:AlternateContent>
  <xr:revisionPtr revIDLastSave="0" documentId="13_ncr:1_{FCBE59E7-E011-41F4-9AF2-526B00F1C21F}" xr6:coauthVersionLast="47" xr6:coauthVersionMax="47" xr10:uidLastSave="{00000000-0000-0000-0000-000000000000}"/>
  <bookViews>
    <workbookView xWindow="-120" yWindow="-120" windowWidth="29040" windowHeight="15720" tabRatio="901" activeTab="3" xr2:uid="{00000000-000D-0000-FFFF-FFFF00000000}"/>
  </bookViews>
  <sheets>
    <sheet name="EB1" sheetId="133" r:id="rId1"/>
    <sheet name="RES_RCA" sheetId="135" r:id="rId2"/>
    <sheet name="Sector_Fuels_AGR" sheetId="154" r:id="rId3"/>
    <sheet name="DemTechs_AGR" sheetId="155" r:id="rId4"/>
    <sheet name="Sector_Fuels_COM" sheetId="152" r:id="rId5"/>
    <sheet name="DemTechs_COM" sheetId="153" r:id="rId6"/>
    <sheet name="Sector_Fuels_RSD" sheetId="140" r:id="rId7"/>
    <sheet name="DemTechs_RSD" sheetId="138" r:id="rId8"/>
    <sheet name="Demands" sheetId="134" r:id="rId9"/>
    <sheet name="Emi" sheetId="149" r:id="rId10"/>
  </sheets>
  <externalReferences>
    <externalReference r:id="rId11"/>
    <externalReference r:id="rId12"/>
    <externalReference r:id="rId13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55" l="1"/>
  <c r="G16" i="155" s="1"/>
  <c r="C16" i="155"/>
  <c r="F15" i="155"/>
  <c r="G15" i="155" s="1"/>
  <c r="C15" i="155"/>
  <c r="F14" i="155"/>
  <c r="G14" i="155" s="1"/>
  <c r="C14" i="155"/>
  <c r="F13" i="155"/>
  <c r="G13" i="155" s="1"/>
  <c r="C13" i="155"/>
  <c r="Q12" i="155"/>
  <c r="P12" i="155"/>
  <c r="O12" i="155"/>
  <c r="N12" i="155"/>
  <c r="B12" i="155" s="1"/>
  <c r="F12" i="155"/>
  <c r="G12" i="155" s="1"/>
  <c r="C12" i="155"/>
  <c r="P6" i="155"/>
  <c r="O6" i="155"/>
  <c r="N6" i="155"/>
  <c r="P5" i="155"/>
  <c r="O5" i="155"/>
  <c r="N5" i="155"/>
  <c r="D12" i="155" s="1"/>
  <c r="C23" i="154"/>
  <c r="C22" i="154"/>
  <c r="C21" i="154"/>
  <c r="O20" i="154"/>
  <c r="N20" i="154"/>
  <c r="C20" i="154"/>
  <c r="O19" i="154"/>
  <c r="N19" i="154"/>
  <c r="C19" i="154"/>
  <c r="O18" i="154"/>
  <c r="N18" i="154"/>
  <c r="C18" i="154"/>
  <c r="O17" i="154"/>
  <c r="N17" i="154"/>
  <c r="O16" i="154"/>
  <c r="N16" i="154"/>
  <c r="F15" i="154"/>
  <c r="N9" i="154"/>
  <c r="M9" i="154"/>
  <c r="M20" i="154" s="1"/>
  <c r="L9" i="154"/>
  <c r="N8" i="154"/>
  <c r="M8" i="154"/>
  <c r="M19" i="154" s="1"/>
  <c r="L8" i="154"/>
  <c r="N7" i="154"/>
  <c r="M7" i="154"/>
  <c r="M18" i="154" s="1"/>
  <c r="L7" i="154"/>
  <c r="N6" i="154"/>
  <c r="M6" i="154"/>
  <c r="M17" i="154" s="1"/>
  <c r="L6" i="154"/>
  <c r="N5" i="154"/>
  <c r="M5" i="154"/>
  <c r="M16" i="154" s="1"/>
  <c r="L5" i="154"/>
  <c r="M26" i="133"/>
  <c r="I23" i="133"/>
  <c r="D25" i="154" l="1"/>
  <c r="C25" i="154" s="1"/>
  <c r="L20" i="154"/>
  <c r="B25" i="154" s="1"/>
  <c r="L19" i="154"/>
  <c r="B24" i="154" s="1"/>
  <c r="D24" i="154"/>
  <c r="C24" i="154" s="1"/>
  <c r="L18" i="154"/>
  <c r="B18" i="154" s="1"/>
  <c r="D18" i="154"/>
  <c r="L17" i="154"/>
  <c r="B17" i="154" s="1"/>
  <c r="D17" i="154"/>
  <c r="C17" i="154" s="1"/>
  <c r="L16" i="154"/>
  <c r="B16" i="154" s="1"/>
  <c r="D16" i="154"/>
  <c r="C16" i="154" s="1"/>
  <c r="D5" i="133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E14" i="138" s="1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E14" i="153" s="1"/>
  <c r="K14" i="153" s="1"/>
  <c r="S6" i="133"/>
  <c r="T6" i="133"/>
  <c r="U6" i="133"/>
  <c r="E15" i="153" s="1"/>
  <c r="K15" i="153" s="1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E17" i="134" s="1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O23" i="133"/>
  <c r="C24" i="140"/>
  <c r="C23" i="140"/>
  <c r="C22" i="140"/>
  <c r="C21" i="140"/>
  <c r="C20" i="140"/>
  <c r="C19" i="140"/>
  <c r="C23" i="152"/>
  <c r="C22" i="152"/>
  <c r="C21" i="152"/>
  <c r="C20" i="152"/>
  <c r="C19" i="152"/>
  <c r="C18" i="152"/>
  <c r="U26" i="133"/>
  <c r="I26" i="133"/>
  <c r="U23" i="133"/>
  <c r="E2" i="138"/>
  <c r="Q17" i="138" s="1"/>
  <c r="E2" i="153"/>
  <c r="R16" i="153" s="1"/>
  <c r="E2" i="155"/>
  <c r="C2" i="155"/>
  <c r="B2" i="155"/>
  <c r="H2" i="155"/>
  <c r="D2" i="155"/>
  <c r="C2" i="154"/>
  <c r="B2" i="154"/>
  <c r="F2" i="154"/>
  <c r="E2" i="154"/>
  <c r="C2" i="153"/>
  <c r="P8" i="153" s="1"/>
  <c r="B2" i="153"/>
  <c r="O7" i="153" s="1"/>
  <c r="H31" i="134" s="1"/>
  <c r="Q8" i="153"/>
  <c r="G2" i="153"/>
  <c r="D2" i="153"/>
  <c r="B2" i="140"/>
  <c r="L5" i="140" s="1"/>
  <c r="C2" i="152"/>
  <c r="M5" i="152" s="1"/>
  <c r="M16" i="152" s="1"/>
  <c r="B2" i="152"/>
  <c r="L8" i="152" s="1"/>
  <c r="D24" i="152" s="1"/>
  <c r="C24" i="152" s="1"/>
  <c r="F2" i="152"/>
  <c r="E2" i="152"/>
  <c r="O21" i="152" s="1"/>
  <c r="C2" i="140"/>
  <c r="M9" i="140" s="1"/>
  <c r="M21" i="140" s="1"/>
  <c r="D2" i="138"/>
  <c r="C2" i="138"/>
  <c r="P8" i="138" s="1"/>
  <c r="B2" i="138"/>
  <c r="Q8" i="138"/>
  <c r="F2" i="140"/>
  <c r="E2" i="140"/>
  <c r="N20" i="140" s="1"/>
  <c r="E2" i="134"/>
  <c r="E8" i="134" s="1"/>
  <c r="G2" i="138"/>
  <c r="E17" i="138" l="1"/>
  <c r="K17" i="138" s="1"/>
  <c r="E16" i="134"/>
  <c r="E15" i="134"/>
  <c r="B8" i="149"/>
  <c r="N6" i="152"/>
  <c r="E19" i="152"/>
  <c r="Q15" i="138"/>
  <c r="Q5" i="138"/>
  <c r="R18" i="138"/>
  <c r="Q6" i="138"/>
  <c r="M8" i="152"/>
  <c r="M19" i="152" s="1"/>
  <c r="L10" i="152"/>
  <c r="L21" i="152" s="1"/>
  <c r="B26" i="152" s="1"/>
  <c r="Q7" i="138"/>
  <c r="L5" i="152"/>
  <c r="L16" i="152" s="1"/>
  <c r="B16" i="152" s="1"/>
  <c r="R17" i="138"/>
  <c r="L19" i="152"/>
  <c r="B24" i="152" s="1"/>
  <c r="O18" i="152"/>
  <c r="O21" i="140"/>
  <c r="R16" i="138"/>
  <c r="M7" i="152"/>
  <c r="M18" i="152" s="1"/>
  <c r="N8" i="140"/>
  <c r="N9" i="140"/>
  <c r="L7" i="152"/>
  <c r="L9" i="152"/>
  <c r="E17" i="153"/>
  <c r="K17" i="153" s="1"/>
  <c r="E18" i="153"/>
  <c r="K18" i="153" s="1"/>
  <c r="E19" i="140"/>
  <c r="E16" i="138"/>
  <c r="K16" i="138" s="1"/>
  <c r="Q7" i="153"/>
  <c r="Q5" i="153"/>
  <c r="Q6" i="153"/>
  <c r="P16" i="153"/>
  <c r="P5" i="153"/>
  <c r="P15" i="153"/>
  <c r="P6" i="153"/>
  <c r="O18" i="153"/>
  <c r="B18" i="153" s="1"/>
  <c r="C18" i="153" s="1"/>
  <c r="P14" i="153"/>
  <c r="P7" i="153"/>
  <c r="O16" i="153"/>
  <c r="B16" i="153" s="1"/>
  <c r="C16" i="153" s="1"/>
  <c r="O17" i="153"/>
  <c r="B17" i="153" s="1"/>
  <c r="C17" i="153" s="1"/>
  <c r="P18" i="153"/>
  <c r="D18" i="153"/>
  <c r="P17" i="153"/>
  <c r="P7" i="138"/>
  <c r="E18" i="152"/>
  <c r="K14" i="138"/>
  <c r="E9" i="134" s="1"/>
  <c r="E15" i="138"/>
  <c r="K15" i="138" s="1"/>
  <c r="E10" i="134" s="1"/>
  <c r="I13" i="133"/>
  <c r="K13" i="133"/>
  <c r="H13" i="133"/>
  <c r="E21" i="152"/>
  <c r="O6" i="149"/>
  <c r="L17" i="140"/>
  <c r="B17" i="140" s="1"/>
  <c r="G13" i="133"/>
  <c r="L13" i="133"/>
  <c r="E21" i="140"/>
  <c r="L9" i="140"/>
  <c r="D26" i="140" s="1"/>
  <c r="C26" i="140" s="1"/>
  <c r="P6" i="138"/>
  <c r="M5" i="140"/>
  <c r="M17" i="140" s="1"/>
  <c r="E20" i="140"/>
  <c r="U13" i="133"/>
  <c r="L10" i="140"/>
  <c r="D27" i="140" s="1"/>
  <c r="C27" i="140" s="1"/>
  <c r="E18" i="138"/>
  <c r="K18" i="138" s="1"/>
  <c r="P17" i="138"/>
  <c r="P16" i="138"/>
  <c r="M9" i="152"/>
  <c r="M20" i="152" s="1"/>
  <c r="P5" i="138"/>
  <c r="V11" i="133"/>
  <c r="N5" i="152"/>
  <c r="J13" i="133"/>
  <c r="V9" i="133"/>
  <c r="M10" i="152"/>
  <c r="M21" i="152" s="1"/>
  <c r="V8" i="133"/>
  <c r="V7" i="133"/>
  <c r="E13" i="133"/>
  <c r="D13" i="133"/>
  <c r="V5" i="133"/>
  <c r="N18" i="140"/>
  <c r="N17" i="140"/>
  <c r="O18" i="140"/>
  <c r="O17" i="140"/>
  <c r="O19" i="140"/>
  <c r="O20" i="140"/>
  <c r="N6" i="140"/>
  <c r="N22" i="140"/>
  <c r="F16" i="140"/>
  <c r="N7" i="140"/>
  <c r="N21" i="140"/>
  <c r="N10" i="140"/>
  <c r="N5" i="140"/>
  <c r="O22" i="140"/>
  <c r="N19" i="140"/>
  <c r="M10" i="140"/>
  <c r="M22" i="140" s="1"/>
  <c r="M8" i="140"/>
  <c r="M20" i="140" s="1"/>
  <c r="M6" i="140"/>
  <c r="M18" i="140" s="1"/>
  <c r="M7" i="140"/>
  <c r="M19" i="140" s="1"/>
  <c r="H32" i="134"/>
  <c r="H29" i="134"/>
  <c r="C14" i="134"/>
  <c r="D17" i="153"/>
  <c r="H30" i="134"/>
  <c r="R13" i="133"/>
  <c r="O5" i="138"/>
  <c r="O18" i="138"/>
  <c r="B18" i="138" s="1"/>
  <c r="C18" i="138" s="1"/>
  <c r="O6" i="138"/>
  <c r="O14" i="138"/>
  <c r="B14" i="138" s="1"/>
  <c r="C14" i="138" s="1"/>
  <c r="O15" i="138"/>
  <c r="B15" i="138" s="1"/>
  <c r="C15" i="138" s="1"/>
  <c r="O8" i="138"/>
  <c r="N8" i="149" s="1"/>
  <c r="O7" i="138"/>
  <c r="O17" i="138"/>
  <c r="B17" i="138" s="1"/>
  <c r="C17" i="138" s="1"/>
  <c r="O16" i="138"/>
  <c r="B16" i="138" s="1"/>
  <c r="C16" i="138" s="1"/>
  <c r="N16" i="152"/>
  <c r="N9" i="152"/>
  <c r="N8" i="152"/>
  <c r="N20" i="152"/>
  <c r="O20" i="152"/>
  <c r="N19" i="152"/>
  <c r="N21" i="152"/>
  <c r="O16" i="152"/>
  <c r="O17" i="152"/>
  <c r="N10" i="152"/>
  <c r="F15" i="152"/>
  <c r="N7" i="152"/>
  <c r="O19" i="152"/>
  <c r="N17" i="152"/>
  <c r="N18" i="152"/>
  <c r="T13" i="133"/>
  <c r="N13" i="133"/>
  <c r="L7" i="140"/>
  <c r="L6" i="140"/>
  <c r="E23" i="152"/>
  <c r="P14" i="138"/>
  <c r="R18" i="153"/>
  <c r="Q14" i="153"/>
  <c r="Q15" i="153"/>
  <c r="F13" i="133"/>
  <c r="E22" i="152"/>
  <c r="E20" i="152"/>
  <c r="Q13" i="133"/>
  <c r="E24" i="140"/>
  <c r="P15" i="138"/>
  <c r="V10" i="133"/>
  <c r="O13" i="133"/>
  <c r="O15" i="153"/>
  <c r="B15" i="153" s="1"/>
  <c r="C15" i="153" s="1"/>
  <c r="O14" i="153"/>
  <c r="B14" i="153" s="1"/>
  <c r="C14" i="153" s="1"/>
  <c r="O6" i="153"/>
  <c r="O5" i="153"/>
  <c r="E23" i="140"/>
  <c r="L8" i="140"/>
  <c r="E16" i="153"/>
  <c r="K16" i="153" s="1"/>
  <c r="E13" i="134" s="1"/>
  <c r="Q18" i="153"/>
  <c r="P18" i="138"/>
  <c r="R17" i="153"/>
  <c r="P13" i="133"/>
  <c r="D17" i="140"/>
  <c r="C17" i="140" s="1"/>
  <c r="Q17" i="153"/>
  <c r="L6" i="152"/>
  <c r="O8" i="153"/>
  <c r="H8" i="149" s="1"/>
  <c r="S13" i="133"/>
  <c r="Q16" i="153"/>
  <c r="V12" i="133"/>
  <c r="M13" i="133"/>
  <c r="E22" i="140"/>
  <c r="V6" i="133"/>
  <c r="Q16" i="138"/>
  <c r="M6" i="152"/>
  <c r="M17" i="152" s="1"/>
  <c r="R15" i="138"/>
  <c r="Q14" i="138"/>
  <c r="Q18" i="138"/>
  <c r="C16" i="134" l="1"/>
  <c r="C17" i="134"/>
  <c r="D16" i="152"/>
  <c r="C16" i="152" s="1"/>
  <c r="D6" i="149"/>
  <c r="C6" i="149"/>
  <c r="E14" i="134"/>
  <c r="D26" i="152"/>
  <c r="C26" i="152" s="1"/>
  <c r="L21" i="140"/>
  <c r="B26" i="140" s="1"/>
  <c r="I6" i="149"/>
  <c r="D18" i="152"/>
  <c r="K6" i="149"/>
  <c r="L18" i="152"/>
  <c r="B18" i="152" s="1"/>
  <c r="E6" i="149"/>
  <c r="L20" i="152"/>
  <c r="B25" i="152" s="1"/>
  <c r="D25" i="152"/>
  <c r="C25" i="152" s="1"/>
  <c r="E12" i="134"/>
  <c r="L22" i="140"/>
  <c r="B27" i="140" s="1"/>
  <c r="E11" i="134"/>
  <c r="L19" i="140"/>
  <c r="B19" i="140" s="1"/>
  <c r="Q6" i="149"/>
  <c r="D19" i="140"/>
  <c r="D15" i="138"/>
  <c r="H13" i="134"/>
  <c r="H14" i="134"/>
  <c r="C10" i="134"/>
  <c r="H15" i="134"/>
  <c r="H16" i="134"/>
  <c r="D25" i="140"/>
  <c r="C25" i="140" s="1"/>
  <c r="L20" i="140"/>
  <c r="B25" i="140" s="1"/>
  <c r="P6" i="149"/>
  <c r="D18" i="140"/>
  <c r="C18" i="140" s="1"/>
  <c r="L18" i="140"/>
  <c r="B18" i="140" s="1"/>
  <c r="D17" i="152"/>
  <c r="C17" i="152" s="1"/>
  <c r="L17" i="152"/>
  <c r="B17" i="152" s="1"/>
  <c r="J6" i="149"/>
  <c r="D16" i="153"/>
  <c r="H26" i="134"/>
  <c r="H25" i="134"/>
  <c r="H28" i="134"/>
  <c r="H27" i="134"/>
  <c r="C13" i="134"/>
  <c r="H22" i="134"/>
  <c r="D14" i="153"/>
  <c r="C12" i="134"/>
  <c r="H21" i="134"/>
  <c r="H24" i="134"/>
  <c r="H23" i="134"/>
  <c r="D15" i="153"/>
  <c r="D14" i="138"/>
  <c r="C9" i="134"/>
  <c r="H11" i="134"/>
  <c r="H10" i="134"/>
  <c r="H12" i="134"/>
  <c r="H9" i="134"/>
  <c r="C15" i="134"/>
  <c r="H20" i="134"/>
  <c r="D17" i="138"/>
  <c r="D16" i="138"/>
  <c r="C11" i="134"/>
  <c r="H17" i="134"/>
  <c r="H19" i="134"/>
  <c r="D18" i="138"/>
  <c r="H18" i="134"/>
  <c r="V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135FA6B5-D5F6-47AA-8BAB-B08DCAAAA63C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1C4CA34B-1D0E-4D21-8FD6-8EFAFA1552AC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D41CB4A0-BBF3-49AA-A6EE-AC44A4E3CC7F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DCAC2430-36F3-44DA-A3FF-0CE6E732F9C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8A15104A-8CE4-4AD5-B26A-6D7187986EF9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793C6C27-6B5F-432A-98E3-692E1CEBDE38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81968EE3-4705-4E40-957B-A4AE5E1480F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C7413A8D-2C5F-4925-BE75-8B0510D0A5B7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C32FFC6A-3824-4303-AAC2-0C4CCF2B3143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5C0567BE-56F7-4695-9FF6-B4B4E14A4D4B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7713E87A-50E0-4DC4-896E-A24735B02FC8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F56F48DA-0D73-49B8-BF2E-4DDDD72835A7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9889F8BB-2635-41C0-A4C3-783650D5B292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AD9114B1-11E7-4E11-A8AD-6A93F18CBF16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U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 xr:uid="{324BCA14-FC8D-4A62-BCD1-18785BA3D75D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 xr:uid="{2038C725-F30D-4EC6-B2FA-9206C192223D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 xr:uid="{18A5E779-3F07-4FEC-9FC1-0C4FA21B02E2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 xr:uid="{B540F529-922B-45D8-BEB9-99D56FF3B931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U11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11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5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5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6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6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7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7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7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<sst xmlns="http://schemas.openxmlformats.org/spreadsheetml/2006/main" count="696" uniqueCount="183">
  <si>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</si>
  <si>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</si>
  <si>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</si>
  <si>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</si>
  <si>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</si>
  <si>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</si>
  <si>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</si>
  <si>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</si>
  <si>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</si>
  <si>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</si>
  <si>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</si>
  <si>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</si>
  <si>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</si>
  <si>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</si>
  <si>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</si>
  <si>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</si>
  <si>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</si>
  <si>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</si>
  <si>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</si>
  <si>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</si>
  <si>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</si>
  <si>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</si>
  <si>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</si>
  <si>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</si>
  <si>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</si>
  <si>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</si>
  <si>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</si>
  <si>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</si>
  <si>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</si>
  <si>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</si>
  <si>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</si>
  <si>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</si>
  <si>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</si>
  <si>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</si>
  <si>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</si>
  <si>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</si>
  <si>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</si>
  <si>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</si>
  <si>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</si>
  <si>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</si>
  <si>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</si>
  <si>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</si>
  <si>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</si>
  <si>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</si>
  <si>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</si>
  <si>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</si>
  <si>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</si>
  <si>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</si>
  <si>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</si>
  <si>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</si>
  <si>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</si>
  <si>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</si>
  <si>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</si>
  <si>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</si>
  <si>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</si>
  <si>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</si>
  <si>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</si>
  <si>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</si>
  <si>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</si>
  <si>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</si>
  <si>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</si>
  <si>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</si>
  <si>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</si>
  <si>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</si>
  <si>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</si>
  <si>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</si>
  <si>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</si>
  <si>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</si>
  <si>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</si>
  <si>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</si>
  <si>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</si>
  <si>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</si>
  <si>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</si>
  <si>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</si>
  <si>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</si>
  <si>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</si>
  <si>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</si>
  <si>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</si>
  <si>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</si>
  <si>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</si>
  <si>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</si>
  <si>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</si>
  <si>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</si>
  <si>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</si>
  <si>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</si>
  <si>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</si>
  <si>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</si>
  <si>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</si>
  <si>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</si>
  <si>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</si>
  <si>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</si>
  <si>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</si>
  <si>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</si>
  <si>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</si>
  <si>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</si>
  <si>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</si>
  <si>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</si>
  <si>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</si>
  <si>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</si>
  <si>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</si>
  <si>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</si>
  <si>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AP</t>
  </si>
  <si>
    <t>OT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</si>
  <si>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</si>
  <si>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</si>
  <si>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</si>
  <si>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</si>
  <si>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</si>
  <si>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</si>
  <si>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</si>
  <si>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</si>
  <si>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</si>
  <si>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</si>
  <si>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</si>
  <si>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</si>
  <si>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</si>
  <si>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</si>
  <si>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</si>
  <si>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</si>
  <si>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</si>
  <si>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PRC_CAPACT</t>
  </si>
  <si>
    <t>Capacity to Activity Factor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</si>
  <si>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</si>
  <si>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</si>
  <si>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</si>
  <si>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</si>
  <si>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</si>
  <si>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</si>
  <si>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</si>
  <si>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</si>
  <si>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</si>
  <si>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</si>
  <si>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</si>
  <si>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</si>
  <si>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</si>
  <si>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</si>
  <si>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</si>
  <si>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</si>
  <si>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</si>
  <si>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</si>
  <si>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</si>
  <si>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</si>
  <si>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</si>
  <si>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</si>
  <si>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</si>
  <si>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</si>
  <si>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</si>
  <si>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</si>
  <si>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</si>
  <si>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</si>
  <si>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</si>
  <si>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</si>
  <si>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</si>
  <si>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</si>
  <si>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</si>
  <si>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</si>
  <si>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Capacity Unit/PJ</t>
  </si>
  <si>
    <t>GW or Pja</t>
  </si>
  <si>
    <t>Demand Sectors: Agriculture, Commercial and Residential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</si>
  <si>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</si>
  <si>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</si>
  <si>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</si>
  <si>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</si>
  <si>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</si>
  <si>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</si>
  <si>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</si>
  <si>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</si>
  <si>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Crude Oil</t>
  </si>
  <si>
    <t>Lifetime</t>
  </si>
  <si>
    <t>CAP2ACT</t>
  </si>
  <si>
    <t>M$2021</t>
  </si>
  <si>
    <t>DD</t>
  </si>
  <si>
    <t>DN</t>
  </si>
  <si>
    <t>RD</t>
  </si>
  <si>
    <t>RN</t>
  </si>
  <si>
    <t>SC</t>
  </si>
  <si>
    <t>Space Cooling</t>
  </si>
  <si>
    <t>AGRBIO</t>
  </si>
  <si>
    <t>COMBIO</t>
  </si>
  <si>
    <t>RSDBIO</t>
  </si>
  <si>
    <t>Relaxation factor</t>
  </si>
  <si>
    <t>Share-I~2050~UP</t>
  </si>
  <si>
    <t>Remaining 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</si>
</sst>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1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10"/>
      <name val="Arial"/>
    </font>
  </fonts>
  <fills count="2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6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9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9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9" fontId="30" fillId="0" borderId="0" applyFont="0" applyFill="0" applyBorder="0" applyAlignment="0" applyProtection="0"/>
  </cellStyleXfs>
  <cellXfs count="167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15" fillId="7" borderId="0" xfId="4" applyAlignment="1">
      <alignment wrapText="1"/>
    </xf>
    <xf numFmtId="0" fontId="3" fillId="0" borderId="0" xfId="0" applyFont="1"/>
    <xf numFmtId="0" fontId="4" fillId="0" borderId="0" xfId="10"/>
    <xf numFmtId="0" fontId="4" fillId="0" borderId="0" xfId="10" applyAlignment="1">
      <alignment wrapText="1"/>
    </xf>
    <xf numFmtId="0" fontId="4" fillId="0" borderId="4" xfId="0" applyFont="1" applyBorder="1"/>
    <xf numFmtId="0" fontId="4" fillId="0" borderId="2" xfId="0" applyFont="1" applyBorder="1"/>
    <xf numFmtId="0" fontId="15" fillId="0" borderId="0" xfId="4" applyFill="1"/>
    <xf numFmtId="0" fontId="5" fillId="0" borderId="0" xfId="0" applyFont="1" applyAlignment="1">
      <alignment horizontal="left"/>
    </xf>
    <xf numFmtId="0" fontId="11" fillId="3" borderId="0" xfId="0" quotePrefix="1" applyFont="1" applyFill="1"/>
    <xf numFmtId="0" fontId="11" fillId="0" borderId="0" xfId="0" quotePrefix="1" applyFont="1"/>
    <xf numFmtId="0" fontId="3" fillId="2" borderId="3" xfId="12" applyFont="1" applyFill="1" applyBorder="1" applyAlignment="1">
      <alignment horizontal="left" vertical="center"/>
    </xf>
    <xf numFmtId="0" fontId="21" fillId="0" borderId="0" xfId="2" applyFont="1" applyFill="1" applyBorder="1" applyAlignment="1">
      <alignment wrapText="1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5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65" fontId="9" fillId="15" borderId="2" xfId="0" applyNumberFormat="1" applyFont="1" applyFill="1" applyBorder="1" applyAlignment="1">
      <alignment horizontal="left" vertical="center"/>
    </xf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5" xfId="5" applyNumberFormat="1" applyBorder="1" applyAlignment="1">
      <alignment horizontal="right"/>
    </xf>
    <xf numFmtId="1" fontId="16" fillId="8" borderId="6" xfId="5" applyNumberFormat="1" applyBorder="1" applyAlignment="1">
      <alignment horizontal="right"/>
    </xf>
    <xf numFmtId="165" fontId="16" fillId="8" borderId="7" xfId="5" applyNumberFormat="1" applyBorder="1" applyAlignment="1">
      <alignment horizontal="right" vertical="center"/>
    </xf>
    <xf numFmtId="165" fontId="9" fillId="15" borderId="8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left" vertical="center"/>
    </xf>
    <xf numFmtId="165" fontId="9" fillId="15" borderId="10" xfId="0" applyNumberFormat="1" applyFont="1" applyFill="1" applyBorder="1" applyAlignment="1">
      <alignment horizontal="left" vertical="center"/>
    </xf>
    <xf numFmtId="165" fontId="9" fillId="15" borderId="1" xfId="0" applyNumberFormat="1" applyFont="1" applyFill="1" applyBorder="1" applyAlignment="1">
      <alignment horizontal="left" vertical="center"/>
    </xf>
    <xf numFmtId="165" fontId="9" fillId="15" borderId="11" xfId="0" applyNumberFormat="1" applyFont="1" applyFill="1" applyBorder="1" applyAlignment="1">
      <alignment horizontal="left" vertical="center"/>
    </xf>
    <xf numFmtId="165" fontId="9" fillId="15" borderId="12" xfId="0" applyNumberFormat="1" applyFont="1" applyFill="1" applyBorder="1" applyAlignment="1">
      <alignment horizontal="left" vertical="center"/>
    </xf>
    <xf numFmtId="165" fontId="9" fillId="15" borderId="13" xfId="0" applyNumberFormat="1" applyFont="1" applyFill="1" applyBorder="1" applyAlignment="1">
      <alignment horizontal="left" vertical="center"/>
    </xf>
    <xf numFmtId="165" fontId="9" fillId="15" borderId="9" xfId="0" applyNumberFormat="1" applyFont="1" applyFill="1" applyBorder="1" applyAlignment="1">
      <alignment horizontal="center" vertical="center"/>
    </xf>
    <xf numFmtId="165" fontId="9" fillId="15" borderId="10" xfId="0" applyNumberFormat="1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5" fillId="14" borderId="7" xfId="0" applyFont="1" applyFill="1" applyBorder="1" applyAlignment="1">
      <alignment wrapText="1"/>
    </xf>
    <xf numFmtId="9" fontId="18" fillId="10" borderId="0" xfId="17" applyFont="1" applyFill="1" applyBorder="1" applyAlignment="1"/>
    <xf numFmtId="0" fontId="26" fillId="7" borderId="2" xfId="4" applyFont="1" applyBorder="1" applyAlignment="1">
      <alignment horizontal="left" vertical="center"/>
    </xf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0" fontId="4" fillId="16" borderId="0" xfId="10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5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7" borderId="2" xfId="0" applyNumberFormat="1" applyFill="1" applyBorder="1"/>
    <xf numFmtId="0" fontId="15" fillId="6" borderId="0" xfId="3"/>
    <xf numFmtId="165" fontId="8" fillId="0" borderId="16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1" fontId="3" fillId="15" borderId="12" xfId="0" applyNumberFormat="1" applyFont="1" applyFill="1" applyBorder="1"/>
    <xf numFmtId="1" fontId="3" fillId="15" borderId="13" xfId="0" applyNumberFormat="1" applyFont="1" applyFill="1" applyBorder="1"/>
    <xf numFmtId="0" fontId="21" fillId="4" borderId="5" xfId="1" applyFont="1" applyBorder="1" applyAlignment="1">
      <alignment horizontal="left" wrapText="1"/>
    </xf>
    <xf numFmtId="0" fontId="25" fillId="14" borderId="12" xfId="0" applyFont="1" applyFill="1" applyBorder="1"/>
    <xf numFmtId="0" fontId="0" fillId="0" borderId="12" xfId="0" applyBorder="1"/>
    <xf numFmtId="0" fontId="3" fillId="14" borderId="17" xfId="0" applyFont="1" applyFill="1" applyBorder="1" applyAlignment="1">
      <alignment wrapText="1"/>
    </xf>
    <xf numFmtId="0" fontId="3" fillId="14" borderId="8" xfId="0" applyFont="1" applyFill="1" applyBorder="1" applyAlignment="1">
      <alignment wrapText="1"/>
    </xf>
    <xf numFmtId="165" fontId="9" fillId="15" borderId="17" xfId="0" applyNumberFormat="1" applyFont="1" applyFill="1" applyBorder="1" applyAlignment="1">
      <alignment horizontal="center" vertical="center"/>
    </xf>
    <xf numFmtId="165" fontId="9" fillId="15" borderId="8" xfId="0" applyNumberFormat="1" applyFont="1" applyFill="1" applyBorder="1" applyAlignment="1">
      <alignment horizontal="center" vertical="center"/>
    </xf>
    <xf numFmtId="165" fontId="9" fillId="15" borderId="11" xfId="0" applyNumberFormat="1" applyFont="1" applyFill="1" applyBorder="1" applyAlignment="1">
      <alignment horizontal="center" vertical="center"/>
    </xf>
    <xf numFmtId="165" fontId="9" fillId="15" borderId="18" xfId="0" applyNumberFormat="1" applyFont="1" applyFill="1" applyBorder="1" applyAlignment="1">
      <alignment horizontal="center" vertical="center"/>
    </xf>
    <xf numFmtId="165" fontId="9" fillId="15" borderId="12" xfId="0" applyNumberFormat="1" applyFont="1" applyFill="1" applyBorder="1" applyAlignment="1">
      <alignment horizontal="center" vertical="center"/>
    </xf>
    <xf numFmtId="165" fontId="9" fillId="15" borderId="16" xfId="0" applyNumberFormat="1" applyFont="1" applyFill="1" applyBorder="1" applyAlignment="1">
      <alignment horizontal="center" vertical="center"/>
    </xf>
    <xf numFmtId="165" fontId="9" fillId="15" borderId="13" xfId="0" applyNumberFormat="1" applyFont="1" applyFill="1" applyBorder="1" applyAlignment="1">
      <alignment horizontal="center" vertical="center"/>
    </xf>
    <xf numFmtId="9" fontId="18" fillId="10" borderId="12" xfId="17" applyFont="1" applyFill="1" applyBorder="1" applyAlignment="1"/>
    <xf numFmtId="0" fontId="28" fillId="5" borderId="5" xfId="2" applyFont="1" applyBorder="1" applyAlignment="1">
      <alignment horizontal="center" wrapText="1"/>
    </xf>
    <xf numFmtId="9" fontId="4" fillId="0" borderId="0" xfId="17" applyFont="1" applyFill="1"/>
    <xf numFmtId="9" fontId="9" fillId="15" borderId="2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9" fontId="9" fillId="15" borderId="0" xfId="17" applyFont="1" applyFill="1" applyBorder="1" applyAlignment="1">
      <alignment horizontal="left" vertical="center"/>
    </xf>
    <xf numFmtId="9" fontId="18" fillId="10" borderId="16" xfId="17" applyFont="1" applyFill="1" applyBorder="1" applyAlignment="1"/>
    <xf numFmtId="9" fontId="18" fillId="10" borderId="2" xfId="17" applyFont="1" applyFill="1" applyBorder="1" applyAlignment="1"/>
    <xf numFmtId="0" fontId="28" fillId="0" borderId="0" xfId="2" applyFont="1" applyFill="1" applyBorder="1" applyAlignment="1">
      <alignment horizontal="center" wrapText="1"/>
    </xf>
    <xf numFmtId="2" fontId="0" fillId="16" borderId="2" xfId="0" applyNumberFormat="1" applyFill="1" applyBorder="1"/>
    <xf numFmtId="0" fontId="4" fillId="16" borderId="2" xfId="10" applyFill="1" applyBorder="1"/>
    <xf numFmtId="0" fontId="0" fillId="16" borderId="2" xfId="0" applyFill="1" applyBorder="1"/>
    <xf numFmtId="0" fontId="0" fillId="0" borderId="5" xfId="0" applyBorder="1"/>
    <xf numFmtId="1" fontId="0" fillId="17" borderId="5" xfId="0" applyNumberFormat="1" applyFill="1" applyBorder="1"/>
    <xf numFmtId="2" fontId="0" fillId="16" borderId="5" xfId="0" applyNumberFormat="1" applyFill="1" applyBorder="1"/>
    <xf numFmtId="0" fontId="0" fillId="16" borderId="5" xfId="0" applyFill="1" applyBorder="1"/>
    <xf numFmtId="9" fontId="18" fillId="10" borderId="13" xfId="17" applyFont="1" applyFill="1" applyBorder="1" applyAlignment="1"/>
    <xf numFmtId="9" fontId="0" fillId="0" borderId="0" xfId="0" applyNumberFormat="1"/>
    <xf numFmtId="1" fontId="3" fillId="2" borderId="3" xfId="12" applyNumberFormat="1" applyFont="1" applyFill="1" applyBorder="1" applyAlignment="1">
      <alignment horizontal="left" vertical="center"/>
    </xf>
    <xf numFmtId="1" fontId="0" fillId="16" borderId="0" xfId="0" applyNumberFormat="1" applyFill="1"/>
    <xf numFmtId="1" fontId="0" fillId="16" borderId="2" xfId="0" applyNumberFormat="1" applyFill="1" applyBorder="1"/>
    <xf numFmtId="1" fontId="0" fillId="16" borderId="5" xfId="0" applyNumberFormat="1" applyFill="1" applyBorder="1"/>
    <xf numFmtId="9" fontId="4" fillId="17" borderId="0" xfId="17" applyFont="1" applyFill="1"/>
    <xf numFmtId="1" fontId="4" fillId="0" borderId="2" xfId="0" applyNumberFormat="1" applyFont="1" applyBorder="1"/>
    <xf numFmtId="2" fontId="4" fillId="16" borderId="2" xfId="9" applyNumberFormat="1" applyFont="1" applyFill="1" applyBorder="1"/>
    <xf numFmtId="0" fontId="4" fillId="16" borderId="2" xfId="9" applyFont="1" applyFill="1" applyBorder="1"/>
    <xf numFmtId="2" fontId="4" fillId="16" borderId="5" xfId="10" applyNumberFormat="1" applyFill="1" applyBorder="1"/>
    <xf numFmtId="2" fontId="4" fillId="16" borderId="0" xfId="10" applyNumberFormat="1" applyFill="1"/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5" xfId="0" applyNumberFormat="1" applyFont="1" applyFill="1" applyBorder="1" applyAlignment="1">
      <alignment horizontal="left"/>
    </xf>
    <xf numFmtId="166" fontId="21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1" fillId="4" borderId="3" xfId="1" applyNumberFormat="1" applyFont="1" applyBorder="1" applyAlignment="1">
      <alignment horizontal="center" wrapText="1"/>
    </xf>
    <xf numFmtId="166" fontId="0" fillId="0" borderId="5" xfId="0" applyNumberFormat="1" applyBorder="1"/>
    <xf numFmtId="165" fontId="9" fillId="15" borderId="21" xfId="0" applyNumberFormat="1" applyFont="1" applyFill="1" applyBorder="1" applyAlignment="1">
      <alignment horizontal="left" vertical="center"/>
    </xf>
    <xf numFmtId="1" fontId="0" fillId="15" borderId="22" xfId="0" applyNumberFormat="1" applyFill="1" applyBorder="1"/>
    <xf numFmtId="1" fontId="0" fillId="15" borderId="23" xfId="0" applyNumberFormat="1" applyFill="1" applyBorder="1"/>
    <xf numFmtId="1" fontId="0" fillId="15" borderId="24" xfId="0" applyNumberFormat="1" applyFill="1" applyBorder="1"/>
    <xf numFmtId="1" fontId="0" fillId="15" borderId="26" xfId="0" applyNumberFormat="1" applyFill="1" applyBorder="1"/>
    <xf numFmtId="1" fontId="0" fillId="15" borderId="27" xfId="0" applyNumberFormat="1" applyFill="1" applyBorder="1"/>
    <xf numFmtId="1" fontId="0" fillId="15" borderId="28" xfId="0" applyNumberFormat="1" applyFill="1" applyBorder="1"/>
    <xf numFmtId="0" fontId="1" fillId="0" borderId="0" xfId="10" applyFont="1"/>
    <xf numFmtId="0" fontId="1" fillId="0" borderId="2" xfId="10" applyFont="1" applyBorder="1"/>
    <xf numFmtId="2" fontId="0" fillId="17" borderId="24" xfId="0" applyNumberFormat="1" applyFill="1" applyBorder="1"/>
    <xf numFmtId="2" fontId="0" fillId="17" borderId="25" xfId="0" applyNumberFormat="1" applyFill="1" applyBorder="1"/>
    <xf numFmtId="2" fontId="0" fillId="17" borderId="26" xfId="0" applyNumberFormat="1" applyFill="1" applyBorder="1"/>
    <xf numFmtId="0" fontId="4" fillId="0" borderId="23" xfId="0" applyFont="1" applyBorder="1"/>
    <xf numFmtId="2" fontId="18" fillId="10" borderId="0" xfId="8" applyNumberFormat="1" applyBorder="1" applyAlignment="1"/>
    <xf numFmtId="2" fontId="0" fillId="15" borderId="0" xfId="0" applyNumberFormat="1" applyFill="1"/>
    <xf numFmtId="2" fontId="18" fillId="10" borderId="23" xfId="8" applyNumberFormat="1" applyBorder="1" applyAlignment="1"/>
    <xf numFmtId="2" fontId="18" fillId="10" borderId="20" xfId="8" applyNumberFormat="1" applyBorder="1" applyAlignment="1"/>
    <xf numFmtId="1" fontId="0" fillId="19" borderId="0" xfId="0" applyNumberFormat="1" applyFill="1"/>
    <xf numFmtId="1" fontId="0" fillId="19" borderId="25" xfId="0" applyNumberFormat="1" applyFill="1" applyBorder="1"/>
    <xf numFmtId="2" fontId="24" fillId="13" borderId="0" xfId="2" applyNumberFormat="1" applyFont="1" applyFill="1" applyBorder="1" applyAlignment="1">
      <alignment horizontal="right" wrapText="1"/>
    </xf>
    <xf numFmtId="2" fontId="24" fillId="13" borderId="2" xfId="2" applyNumberFormat="1" applyFont="1" applyFill="1" applyBorder="1" applyAlignment="1">
      <alignment horizontal="right" wrapText="1"/>
    </xf>
    <xf numFmtId="2" fontId="24" fillId="13" borderId="5" xfId="2" applyNumberFormat="1" applyFont="1" applyFill="1" applyBorder="1" applyAlignment="1">
      <alignment horizontal="right" wrapText="1"/>
    </xf>
    <xf numFmtId="0" fontId="23" fillId="0" borderId="8" xfId="0" applyFont="1" applyBorder="1" applyAlignment="1">
      <alignment horizontal="center"/>
    </xf>
    <xf numFmtId="0" fontId="3" fillId="14" borderId="1" xfId="0" applyFont="1" applyFill="1" applyBorder="1" applyAlignment="1">
      <alignment wrapText="1"/>
    </xf>
    <xf numFmtId="0" fontId="3" fillId="14" borderId="11" xfId="0" applyFont="1" applyFill="1" applyBorder="1" applyAlignment="1">
      <alignment wrapText="1"/>
    </xf>
    <xf numFmtId="165" fontId="9" fillId="15" borderId="16" xfId="0" applyNumberFormat="1" applyFont="1" applyFill="1" applyBorder="1" applyAlignment="1">
      <alignment horizontal="left" vertical="center"/>
    </xf>
    <xf numFmtId="0" fontId="3" fillId="14" borderId="7" xfId="0" applyFont="1" applyFill="1" applyBorder="1" applyAlignment="1">
      <alignment wrapText="1"/>
    </xf>
    <xf numFmtId="166" fontId="1" fillId="0" borderId="0" xfId="0" applyNumberFormat="1" applyFont="1"/>
    <xf numFmtId="1" fontId="1" fillId="0" borderId="0" xfId="0" applyNumberFormat="1" applyFont="1"/>
    <xf numFmtId="2" fontId="1" fillId="0" borderId="0" xfId="9" applyNumberFormat="1" applyFont="1" applyFill="1"/>
    <xf numFmtId="0" fontId="1" fillId="0" borderId="0" xfId="9" applyFont="1" applyFill="1"/>
    <xf numFmtId="2" fontId="1" fillId="16" borderId="0" xfId="9" applyNumberFormat="1" applyFont="1" applyFill="1"/>
    <xf numFmtId="0" fontId="1" fillId="16" borderId="0" xfId="9" applyFont="1" applyFill="1"/>
    <xf numFmtId="0" fontId="17" fillId="9" borderId="0" xfId="7"/>
    <xf numFmtId="9" fontId="17" fillId="9" borderId="0" xfId="7" applyNumberFormat="1" applyAlignment="1">
      <alignment horizontal="left"/>
    </xf>
    <xf numFmtId="9" fontId="1" fillId="17" borderId="0" xfId="17" applyFont="1" applyFill="1"/>
    <xf numFmtId="9" fontId="30" fillId="16" borderId="0" xfId="25" applyFont="1" applyFill="1"/>
  </cellXfs>
  <cellStyles count="26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3 2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Percent 6" xfId="25" xr:uid="{74057C38-46DB-4ADD-B1C8-F44FE30DFE76}"/>
    <cellStyle name="Standard_Sce_D_Extraction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0987" name="Picture 6">
          <a:extLst>
            <a:ext uri="{FF2B5EF4-FFF2-40B4-BE49-F238E27FC236}">
              <a16:creationId xmlns:a16="http://schemas.microsoft.com/office/drawing/2014/main" id="{34B57A8E-028D-45B3-8880-036A0CE1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0988" name="Picture 8">
          <a:extLst>
            <a:ext uri="{FF2B5EF4-FFF2-40B4-BE49-F238E27FC236}">
              <a16:creationId xmlns:a16="http://schemas.microsoft.com/office/drawing/2014/main" id="{C5125CF2-221D-494B-84B5-B7839E29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0989" name="Picture 3">
          <a:extLst>
            <a:ext uri="{FF2B5EF4-FFF2-40B4-BE49-F238E27FC236}">
              <a16:creationId xmlns:a16="http://schemas.microsoft.com/office/drawing/2014/main" id="{69873687-DAC6-4B06-91AE-EE7E79A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038225"/>
          <a:ext cx="2952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0990" name="Picture 4">
          <a:extLst>
            <a:ext uri="{FF2B5EF4-FFF2-40B4-BE49-F238E27FC236}">
              <a16:creationId xmlns:a16="http://schemas.microsoft.com/office/drawing/2014/main" id="{DB6740AD-86AB-44D3-9F3D-4F6D559E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933825"/>
          <a:ext cx="3086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0991" name="Picture 5">
          <a:extLst>
            <a:ext uri="{FF2B5EF4-FFF2-40B4-BE49-F238E27FC236}">
              <a16:creationId xmlns:a16="http://schemas.microsoft.com/office/drawing/2014/main" id="{5C005D82-9B81-4DEF-AA57-8846A947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791450"/>
          <a:ext cx="23241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0992" name="Picture 6">
          <a:extLst>
            <a:ext uri="{FF2B5EF4-FFF2-40B4-BE49-F238E27FC236}">
              <a16:creationId xmlns:a16="http://schemas.microsoft.com/office/drawing/2014/main" id="{AD6E515F-23E9-4150-86FD-A8ABFEF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9315450"/>
          <a:ext cx="30003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0993" name="Picture 7">
          <a:extLst>
            <a:ext uri="{FF2B5EF4-FFF2-40B4-BE49-F238E27FC236}">
              <a16:creationId xmlns:a16="http://schemas.microsoft.com/office/drawing/2014/main" id="{74D5016A-F16C-4E7A-B666-569110CE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495550"/>
          <a:ext cx="2905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0994" name="Picture 8">
          <a:extLst>
            <a:ext uri="{FF2B5EF4-FFF2-40B4-BE49-F238E27FC236}">
              <a16:creationId xmlns:a16="http://schemas.microsoft.com/office/drawing/2014/main" id="{BD3AEFBF-3811-4A56-82C2-08F529EA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839700"/>
          <a:ext cx="3086100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0995" name="Picture 9">
          <a:extLst>
            <a:ext uri="{FF2B5EF4-FFF2-40B4-BE49-F238E27FC236}">
              <a16:creationId xmlns:a16="http://schemas.microsoft.com/office/drawing/2014/main" id="{E7E80F6A-28D8-42D0-83BE-3FE1ADBF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6725900"/>
          <a:ext cx="2362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0996" name="Picture 10">
          <a:extLst>
            <a:ext uri="{FF2B5EF4-FFF2-40B4-BE49-F238E27FC236}">
              <a16:creationId xmlns:a16="http://schemas.microsoft.com/office/drawing/2014/main" id="{A4852144-8D96-43A7-8505-2FF4F8A1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316575"/>
          <a:ext cx="293370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7D6EE-98F7-4582-908F-DE1A410CD78E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123824</xdr:colOff>
      <xdr:row>18</xdr:row>
      <xdr:rowOff>0</xdr:rowOff>
    </xdr:from>
    <xdr:to>
      <xdr:col>16</xdr:col>
      <xdr:colOff>3811972</xdr:colOff>
      <xdr:row>24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5336D9-BB64-4778-84C9-DF122A3E6021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C1ADE8-D461-4BD9-8C98-D1367E16C297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22</xdr:row>
      <xdr:rowOff>0</xdr:rowOff>
    </xdr:from>
    <xdr:to>
      <xdr:col>15</xdr:col>
      <xdr:colOff>3811972</xdr:colOff>
      <xdr:row>28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4FB8B4-8528-4B5E-BF1F-4687517E63A3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24</xdr:row>
      <xdr:rowOff>0</xdr:rowOff>
    </xdr:from>
    <xdr:to>
      <xdr:col>14</xdr:col>
      <xdr:colOff>426720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A9352-CCAC-4F1C-A778-0A7DC129C425}"/>
            </a:ext>
          </a:extLst>
        </xdr:cNvPr>
        <xdr:cNvSpPr txBox="1"/>
      </xdr:nvSpPr>
      <xdr:spPr>
        <a:xfrm>
          <a:off x="6557010" y="423862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22</xdr:row>
      <xdr:rowOff>19050</xdr:rowOff>
    </xdr:from>
    <xdr:to>
      <xdr:col>15</xdr:col>
      <xdr:colOff>3840547</xdr:colOff>
      <xdr:row>28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72A4CE-6AA6-4958-9D84-8EF63ED221A9}"/>
            </a:ext>
          </a:extLst>
        </xdr:cNvPr>
        <xdr:cNvSpPr txBox="1"/>
      </xdr:nvSpPr>
      <xdr:spPr>
        <a:xfrm>
          <a:off x="6905624" y="521970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F6587-6022-444D-A3F6-EC24506EFAA9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8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E5FB8-26C4-4F92-B0BE-E68F98766101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001_Dissertation_WORKING\003_TIMES_WORKING\005_Cambodia-TIMES-Model-main_20261015\EnergyBalance.xls" TargetMode="External"/><Relationship Id="rId1" Type="http://schemas.openxmlformats.org/officeDocument/2006/relationships/externalLinkPath" Target="Energy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rey\Downloads\Demo_S012_Vonline-master%20(1)\Demo_S012_Vonline-master\VT_REG2_RCA_V121.xlsx" TargetMode="External"/><Relationship Id="rId1" Type="http://schemas.openxmlformats.org/officeDocument/2006/relationships/externalLinkPath" Target="file:///C:\Users\serey\Downloads\Demo_S012_Vonline-master%20(1)\Demo_S012_Vonline-master\VT_REG2_RCA_V1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2"/>
      <sheetName val="RES_RCA"/>
      <sheetName val="Sector_Fuels_AGR"/>
      <sheetName val="DemTechs_AGR"/>
      <sheetName val="Sector_Fuels_COM"/>
      <sheetName val="DemTechs_COM"/>
      <sheetName val="Sector_Fuels_RSD"/>
      <sheetName val="DemTechs_RSD"/>
      <sheetName val="Demands"/>
      <sheetName val="Emi"/>
    </sheetNames>
    <sheetDataSet>
      <sheetData sheetId="0">
        <row r="2">
          <cell r="D2" t="str">
            <v>COA</v>
          </cell>
          <cell r="E2" t="str">
            <v>GAS</v>
          </cell>
          <cell r="F2" t="str">
            <v>OIL</v>
          </cell>
          <cell r="G2" t="str">
            <v>DSL</v>
          </cell>
          <cell r="H2" t="str">
            <v>KER</v>
          </cell>
          <cell r="I2" t="str">
            <v>LPG</v>
          </cell>
          <cell r="J2" t="str">
            <v>GSL</v>
          </cell>
          <cell r="L2" t="str">
            <v>HFO</v>
          </cell>
          <cell r="M2" t="str">
            <v>OPP</v>
          </cell>
          <cell r="O2" t="str">
            <v>BIO</v>
          </cell>
          <cell r="U2" t="str">
            <v>ELC</v>
          </cell>
          <cell r="V2" t="str">
            <v>TOT</v>
          </cell>
          <cell r="AA2" t="str">
            <v>kt</v>
          </cell>
        </row>
        <row r="3">
          <cell r="D3" t="str">
            <v>Solid Fuels</v>
          </cell>
          <cell r="E3" t="str">
            <v>Natural Gas</v>
          </cell>
          <cell r="F3" t="str">
            <v>Crude oil</v>
          </cell>
          <cell r="O3" t="str">
            <v>Biomass</v>
          </cell>
          <cell r="U3" t="str">
            <v>Electricity</v>
          </cell>
        </row>
        <row r="6">
          <cell r="D6">
            <v>19.923749999999998</v>
          </cell>
          <cell r="E6">
            <v>1051.038</v>
          </cell>
          <cell r="G6">
            <v>368.84399999999999</v>
          </cell>
          <cell r="H6">
            <v>1.677</v>
          </cell>
          <cell r="I6">
            <v>31.602</v>
          </cell>
          <cell r="J6">
            <v>5.72</v>
          </cell>
          <cell r="L6">
            <v>19.32</v>
          </cell>
          <cell r="M6">
            <v>0.24199999999999999</v>
          </cell>
          <cell r="O6">
            <v>13</v>
          </cell>
          <cell r="U6">
            <v>1263.6955</v>
          </cell>
        </row>
        <row r="20">
          <cell r="C20" t="str">
            <v>OT</v>
          </cell>
          <cell r="X20" t="str">
            <v>Demand</v>
          </cell>
        </row>
        <row r="29">
          <cell r="C29" t="str">
            <v>CO2</v>
          </cell>
        </row>
        <row r="30">
          <cell r="C30" t="str">
            <v>Carbon dioxide</v>
          </cell>
        </row>
      </sheetData>
      <sheetData sheetId="1"/>
      <sheetData sheetId="2">
        <row r="5">
          <cell r="L5" t="str">
            <v>AGRCOA</v>
          </cell>
        </row>
        <row r="6">
          <cell r="L6" t="str">
            <v>AGRGAS</v>
          </cell>
        </row>
        <row r="7">
          <cell r="L7" t="str">
            <v>AGROIL</v>
          </cell>
        </row>
        <row r="8">
          <cell r="L8" t="str">
            <v>AGRBIO</v>
          </cell>
        </row>
        <row r="9">
          <cell r="L9" t="str">
            <v>AGRELC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3"/>
  <sheetViews>
    <sheetView topLeftCell="B1" zoomScale="70" zoomScaleNormal="7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O50" sqref="O50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4" width="12" bestFit="1" customWidth="1"/>
    <col min="5" max="5" width="12.28515625" bestFit="1" customWidth="1"/>
    <col min="6" max="7" width="10.85546875" customWidth="1"/>
    <col min="8" max="8" width="12.140625" bestFit="1" customWidth="1"/>
    <col min="9" max="12" width="10.85546875" customWidth="1"/>
    <col min="13" max="13" width="17.85546875" bestFit="1" customWidth="1"/>
    <col min="14" max="21" width="10.85546875" customWidth="1"/>
    <col min="22" max="22" width="7.28515625" bestFit="1" customWidth="1"/>
    <col min="23" max="23" width="2" bestFit="1" customWidth="1"/>
    <col min="24" max="24" width="13.5703125" bestFit="1" customWidth="1"/>
    <col min="26" max="26" width="6.7109375" bestFit="1" customWidth="1"/>
    <col min="27" max="27" width="9.28515625" bestFit="1" customWidth="1"/>
  </cols>
  <sheetData>
    <row r="1" spans="2:27" x14ac:dyDescent="0.2">
      <c r="X1" s="20" t="s">
        <v>92</v>
      </c>
      <c r="Y1" s="1" t="s">
        <v>93</v>
      </c>
      <c r="Z1" s="1" t="s">
        <v>94</v>
      </c>
      <c r="AA1" s="1" t="s">
        <v>104</v>
      </c>
    </row>
    <row r="2" spans="2:27" ht="15.75" x14ac:dyDescent="0.25">
      <c r="D2" s="35" t="s">
        <v>44</v>
      </c>
      <c r="E2" s="35" t="s">
        <v>45</v>
      </c>
      <c r="F2" s="35" t="s">
        <v>46</v>
      </c>
      <c r="G2" s="35" t="s">
        <v>128</v>
      </c>
      <c r="H2" s="35" t="s">
        <v>129</v>
      </c>
      <c r="I2" s="35" t="s">
        <v>130</v>
      </c>
      <c r="J2" s="35" t="s">
        <v>131</v>
      </c>
      <c r="K2" s="35" t="s">
        <v>132</v>
      </c>
      <c r="L2" s="35" t="s">
        <v>133</v>
      </c>
      <c r="M2" s="35" t="s">
        <v>134</v>
      </c>
      <c r="N2" s="35" t="s">
        <v>47</v>
      </c>
      <c r="O2" s="35" t="s">
        <v>159</v>
      </c>
      <c r="P2" s="35" t="s">
        <v>160</v>
      </c>
      <c r="Q2" s="35" t="s">
        <v>161</v>
      </c>
      <c r="R2" s="35" t="s">
        <v>162</v>
      </c>
      <c r="S2" s="35" t="s">
        <v>48</v>
      </c>
      <c r="T2" s="35" t="s">
        <v>49</v>
      </c>
      <c r="U2" s="35" t="s">
        <v>50</v>
      </c>
      <c r="V2" s="35" t="s">
        <v>153</v>
      </c>
      <c r="Y2" s="34" t="s">
        <v>170</v>
      </c>
      <c r="Z2" s="9" t="s">
        <v>76</v>
      </c>
      <c r="AA2" s="9" t="s">
        <v>105</v>
      </c>
    </row>
    <row r="3" spans="2:27" ht="25.5" x14ac:dyDescent="0.2">
      <c r="C3" s="59" t="s">
        <v>125</v>
      </c>
      <c r="D3" s="36" t="s">
        <v>51</v>
      </c>
      <c r="E3" s="36" t="s">
        <v>52</v>
      </c>
      <c r="F3" s="36" t="s">
        <v>167</v>
      </c>
      <c r="G3" s="36" t="s">
        <v>141</v>
      </c>
      <c r="H3" s="36" t="s">
        <v>137</v>
      </c>
      <c r="I3" s="36" t="s">
        <v>130</v>
      </c>
      <c r="J3" s="36" t="s">
        <v>138</v>
      </c>
      <c r="K3" s="36" t="s">
        <v>139</v>
      </c>
      <c r="L3" s="36" t="s">
        <v>135</v>
      </c>
      <c r="M3" s="36" t="s">
        <v>136</v>
      </c>
      <c r="N3" s="36" t="s">
        <v>53</v>
      </c>
      <c r="O3" s="36" t="s">
        <v>163</v>
      </c>
      <c r="P3" s="36" t="s">
        <v>164</v>
      </c>
      <c r="Q3" s="36" t="s">
        <v>165</v>
      </c>
      <c r="R3" s="36" t="s">
        <v>166</v>
      </c>
      <c r="S3" s="36" t="s">
        <v>54</v>
      </c>
      <c r="T3" s="36" t="s">
        <v>55</v>
      </c>
      <c r="U3" s="36" t="s">
        <v>87</v>
      </c>
      <c r="V3" s="36" t="s">
        <v>56</v>
      </c>
    </row>
    <row r="4" spans="2:27" x14ac:dyDescent="0.2">
      <c r="B4" s="33"/>
      <c r="C4" s="76" t="s">
        <v>57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P4" s="5"/>
      <c r="Q4" s="5"/>
      <c r="R4" s="5"/>
      <c r="S4" s="5"/>
      <c r="T4" s="5"/>
      <c r="U4" s="5"/>
      <c r="V4" s="77"/>
    </row>
    <row r="5" spans="2:27" ht="15" x14ac:dyDescent="0.25">
      <c r="B5" s="37" t="s">
        <v>58</v>
      </c>
      <c r="C5" s="46" t="s">
        <v>59</v>
      </c>
      <c r="D5" s="143">
        <f>[2]EB1!D16</f>
        <v>0</v>
      </c>
      <c r="E5" s="143">
        <f>[2]EB1!E16</f>
        <v>0</v>
      </c>
      <c r="F5" s="144">
        <f>[2]EB1!F16</f>
        <v>0</v>
      </c>
      <c r="G5" s="143">
        <f>[2]EB1!G16</f>
        <v>0</v>
      </c>
      <c r="H5" s="143">
        <f>[2]EB1!H16</f>
        <v>0</v>
      </c>
      <c r="I5" s="143">
        <f>[2]EB1!I16</f>
        <v>8.7784635600000005</v>
      </c>
      <c r="J5" s="143">
        <f>[2]EB1!J16</f>
        <v>0</v>
      </c>
      <c r="K5" s="144">
        <f>[2]EB1!K16</f>
        <v>0</v>
      </c>
      <c r="L5" s="143">
        <f>[2]EB1!L16</f>
        <v>0</v>
      </c>
      <c r="M5" s="143">
        <f>[2]EB1!M16</f>
        <v>0</v>
      </c>
      <c r="N5" s="144">
        <f>[2]EB1!N16</f>
        <v>0</v>
      </c>
      <c r="O5" s="145">
        <f>[2]EB1!O16</f>
        <v>29.606118840000001</v>
      </c>
      <c r="P5" s="144">
        <f>[2]EB1!P16</f>
        <v>0</v>
      </c>
      <c r="Q5" s="144">
        <f>[2]EB1!Q16</f>
        <v>0</v>
      </c>
      <c r="R5" s="143">
        <f>[2]EB1!R16</f>
        <v>0</v>
      </c>
      <c r="S5" s="144">
        <f>[2]EB1!S16</f>
        <v>0</v>
      </c>
      <c r="T5" s="144">
        <f>[2]EB1!T16</f>
        <v>0</v>
      </c>
      <c r="U5" s="143">
        <f>[2]EB1!U16</f>
        <v>15.231997080000001</v>
      </c>
      <c r="V5" s="79">
        <f t="shared" ref="V5:V12" si="0">SUM(D5:U5)</f>
        <v>53.616579479999999</v>
      </c>
    </row>
    <row r="6" spans="2:27" ht="15" x14ac:dyDescent="0.25">
      <c r="B6" s="37" t="s">
        <v>60</v>
      </c>
      <c r="C6" s="47" t="s">
        <v>61</v>
      </c>
      <c r="D6" s="146">
        <f>[2]EB1!D17</f>
        <v>0</v>
      </c>
      <c r="E6" s="143">
        <f>[2]EB1!E17</f>
        <v>0</v>
      </c>
      <c r="F6" s="144">
        <f>[2]EB1!F17</f>
        <v>0</v>
      </c>
      <c r="G6" s="143">
        <f>[2]EB1!G17</f>
        <v>0</v>
      </c>
      <c r="H6" s="143">
        <f>[2]EB1!H17</f>
        <v>0</v>
      </c>
      <c r="I6" s="143">
        <f>[2]EB1!I17</f>
        <v>5.3591040000000003</v>
      </c>
      <c r="J6" s="143">
        <f>[2]EB1!J17</f>
        <v>0</v>
      </c>
      <c r="K6" s="144">
        <f>[2]EB1!K17</f>
        <v>0</v>
      </c>
      <c r="L6" s="143">
        <f>[2]EB1!L17</f>
        <v>0</v>
      </c>
      <c r="M6" s="143">
        <f>[2]EB1!M17</f>
        <v>2.0264112000000001E-2</v>
      </c>
      <c r="N6" s="144">
        <f>[2]EB1!N17</f>
        <v>0</v>
      </c>
      <c r="O6" s="143">
        <f>[2]EB1!O17</f>
        <v>0</v>
      </c>
      <c r="P6" s="144">
        <f>[2]EB1!P17</f>
        <v>0</v>
      </c>
      <c r="Q6" s="144">
        <f>[2]EB1!Q17</f>
        <v>0</v>
      </c>
      <c r="R6" s="143">
        <f>[2]EB1!R17</f>
        <v>0</v>
      </c>
      <c r="S6" s="144">
        <f>[2]EB1!S17</f>
        <v>0</v>
      </c>
      <c r="T6" s="144">
        <f>[2]EB1!T17</f>
        <v>0</v>
      </c>
      <c r="U6" s="143">
        <f>[2]EB1!U17</f>
        <v>11.973410640000001</v>
      </c>
      <c r="V6" s="79">
        <f t="shared" si="0"/>
        <v>17.352778751999999</v>
      </c>
    </row>
    <row r="7" spans="2:27" x14ac:dyDescent="0.2">
      <c r="B7" s="37" t="s">
        <v>62</v>
      </c>
      <c r="C7" s="130" t="s">
        <v>63</v>
      </c>
      <c r="D7" s="132">
        <f>[2]EB1!D18</f>
        <v>20.32984476</v>
      </c>
      <c r="E7" s="78">
        <f>[2]EB1!E18</f>
        <v>0</v>
      </c>
      <c r="F7" s="78">
        <f>[2]EB1!F18</f>
        <v>0</v>
      </c>
      <c r="G7" s="133">
        <f>[2]EB1!G18</f>
        <v>9.3960165599999996</v>
      </c>
      <c r="H7" s="78">
        <f>[2]EB1!H18</f>
        <v>0</v>
      </c>
      <c r="I7" s="78">
        <f>[2]EB1!I18</f>
        <v>2.8470240000000004E-2</v>
      </c>
      <c r="J7" s="78">
        <f>[2]EB1!J18</f>
        <v>0</v>
      </c>
      <c r="K7" s="78">
        <f>[2]EB1!K18</f>
        <v>0</v>
      </c>
      <c r="L7" s="78">
        <f>[2]EB1!L18</f>
        <v>5.0660280000000002E-2</v>
      </c>
      <c r="M7" s="78">
        <f>[2]EB1!M18</f>
        <v>0</v>
      </c>
      <c r="N7" s="78">
        <f>[2]EB1!N18</f>
        <v>0</v>
      </c>
      <c r="O7" s="132">
        <f>[2]EB1!O18</f>
        <v>60.016103280000003</v>
      </c>
      <c r="P7" s="78">
        <f>[2]EB1!P18</f>
        <v>0</v>
      </c>
      <c r="Q7" s="78">
        <f>[2]EB1!Q18</f>
        <v>0</v>
      </c>
      <c r="R7" s="78">
        <f>[2]EB1!R18</f>
        <v>0</v>
      </c>
      <c r="S7" s="78">
        <f>[2]EB1!S18</f>
        <v>0</v>
      </c>
      <c r="T7" s="78">
        <f>[2]EB1!T18</f>
        <v>0</v>
      </c>
      <c r="U7" s="78">
        <f>[2]EB1!U18</f>
        <v>15.341691240000001</v>
      </c>
      <c r="V7" s="79">
        <f t="shared" si="0"/>
        <v>105.16278636</v>
      </c>
    </row>
    <row r="8" spans="2:27" ht="15" x14ac:dyDescent="0.25">
      <c r="B8" s="37" t="s">
        <v>64</v>
      </c>
      <c r="C8" s="47" t="s">
        <v>65</v>
      </c>
      <c r="D8" s="147">
        <f>[2]EB1!D19</f>
        <v>0</v>
      </c>
      <c r="E8" s="147">
        <f>[2]EB1!E19</f>
        <v>0</v>
      </c>
      <c r="F8" s="147">
        <f>[2]EB1!F19</f>
        <v>0</v>
      </c>
      <c r="G8" s="148">
        <f>[2]EB1!G19</f>
        <v>8.9932464000000003</v>
      </c>
      <c r="H8" s="147">
        <f>[2]EB1!H19</f>
        <v>0</v>
      </c>
      <c r="I8" s="147">
        <f>[2]EB1!I19</f>
        <v>0</v>
      </c>
      <c r="J8" s="147">
        <f>[2]EB1!J19</f>
        <v>0</v>
      </c>
      <c r="K8" s="147">
        <f>[2]EB1!K19</f>
        <v>0</v>
      </c>
      <c r="L8" s="147">
        <f>[2]EB1!L19</f>
        <v>0</v>
      </c>
      <c r="M8" s="147">
        <f>[2]EB1!M19</f>
        <v>0</v>
      </c>
      <c r="N8" s="147">
        <f>[2]EB1!N19</f>
        <v>0</v>
      </c>
      <c r="O8" s="147">
        <f>[2]EB1!O19</f>
        <v>0</v>
      </c>
      <c r="P8" s="147">
        <f>[2]EB1!P19</f>
        <v>0</v>
      </c>
      <c r="Q8" s="147">
        <f>[2]EB1!Q19</f>
        <v>0</v>
      </c>
      <c r="R8" s="147">
        <f>[2]EB1!R19</f>
        <v>0</v>
      </c>
      <c r="S8" s="147">
        <f>[2]EB1!S19</f>
        <v>4.1868000000000006E-5</v>
      </c>
      <c r="T8" s="147">
        <f>[2]EB1!T19</f>
        <v>0</v>
      </c>
      <c r="U8" s="147">
        <f>[2]EB1!U19</f>
        <v>0</v>
      </c>
      <c r="V8" s="42">
        <f t="shared" si="0"/>
        <v>8.9932882680000006</v>
      </c>
    </row>
    <row r="9" spans="2:27" x14ac:dyDescent="0.2">
      <c r="B9" s="37" t="s">
        <v>66</v>
      </c>
      <c r="C9" s="47" t="s">
        <v>67</v>
      </c>
      <c r="D9" s="78">
        <f>[2]EB1!D20</f>
        <v>0</v>
      </c>
      <c r="E9" s="78">
        <f>[2]EB1!E20</f>
        <v>0</v>
      </c>
      <c r="F9" s="78">
        <f>[2]EB1!F20</f>
        <v>0</v>
      </c>
      <c r="G9" s="134">
        <f>[2]EB1!G20</f>
        <v>59.234009040000004</v>
      </c>
      <c r="H9" s="131">
        <f>[2]EB1!H20</f>
        <v>2.9927246400000005</v>
      </c>
      <c r="I9" s="135">
        <f>[2]EB1!I20</f>
        <v>1.2346873199999999</v>
      </c>
      <c r="J9" s="136">
        <f>[2]EB1!J20</f>
        <v>28.510014600000005</v>
      </c>
      <c r="K9" s="78">
        <f>[2]EB1!K20</f>
        <v>0</v>
      </c>
      <c r="L9" s="78">
        <f>[2]EB1!L20</f>
        <v>1.2556213199999999</v>
      </c>
      <c r="M9" s="78">
        <f>[2]EB1!M20</f>
        <v>8.1692841600000001</v>
      </c>
      <c r="N9" s="78">
        <f>[2]EB1!N20</f>
        <v>0</v>
      </c>
      <c r="O9" s="78">
        <f>[2]EB1!O20</f>
        <v>0</v>
      </c>
      <c r="P9" s="78">
        <f>[2]EB1!P20</f>
        <v>0</v>
      </c>
      <c r="Q9" s="78">
        <f>[2]EB1!Q20</f>
        <v>0</v>
      </c>
      <c r="R9" s="78">
        <f>[2]EB1!R20</f>
        <v>0</v>
      </c>
      <c r="S9" s="78">
        <f>[2]EB1!S20</f>
        <v>0</v>
      </c>
      <c r="T9" s="78">
        <f>[2]EB1!T20</f>
        <v>0</v>
      </c>
      <c r="U9" s="78">
        <f>[2]EB1!U20</f>
        <v>0</v>
      </c>
      <c r="V9" s="79">
        <f t="shared" si="0"/>
        <v>101.39634108000001</v>
      </c>
    </row>
    <row r="10" spans="2:27" x14ac:dyDescent="0.2">
      <c r="B10" s="37" t="s">
        <v>68</v>
      </c>
      <c r="C10" s="48" t="s">
        <v>69</v>
      </c>
      <c r="D10" s="41">
        <f>[2]EB1!D21</f>
        <v>0</v>
      </c>
      <c r="E10" s="41">
        <f>[2]EB1!E21</f>
        <v>0</v>
      </c>
      <c r="F10" s="41">
        <f>[2]EB1!F21</f>
        <v>0</v>
      </c>
      <c r="G10" s="41">
        <f>[2]EB1!G21</f>
        <v>0</v>
      </c>
      <c r="H10" s="41">
        <f>[2]EB1!H21</f>
        <v>0</v>
      </c>
      <c r="I10" s="41">
        <f>[2]EB1!I21</f>
        <v>0</v>
      </c>
      <c r="J10" s="41">
        <f>[2]EB1!J21</f>
        <v>0</v>
      </c>
      <c r="K10" s="41">
        <f>[2]EB1!K21</f>
        <v>0</v>
      </c>
      <c r="L10" s="41">
        <f>[2]EB1!L21</f>
        <v>0</v>
      </c>
      <c r="M10" s="41">
        <f>[2]EB1!M21</f>
        <v>0</v>
      </c>
      <c r="N10" s="41">
        <f>[2]EB1!N21</f>
        <v>0</v>
      </c>
      <c r="O10" s="41">
        <f>[2]EB1!O21</f>
        <v>9.4575625199999998</v>
      </c>
      <c r="P10" s="41">
        <f>[2]EB1!P21</f>
        <v>0</v>
      </c>
      <c r="Q10" s="41">
        <f>[2]EB1!Q21</f>
        <v>0</v>
      </c>
      <c r="R10" s="41">
        <f>[2]EB1!R21</f>
        <v>0</v>
      </c>
      <c r="S10" s="41">
        <f>[2]EB1!S21</f>
        <v>2.51208E-4</v>
      </c>
      <c r="T10" s="41">
        <f>[2]EB1!T21</f>
        <v>1.0048319999999998E-3</v>
      </c>
      <c r="U10" s="41">
        <f>[2]EB1!U21</f>
        <v>0</v>
      </c>
      <c r="V10" s="80">
        <f t="shared" si="0"/>
        <v>9.4588185599999992</v>
      </c>
    </row>
    <row r="11" spans="2:27" x14ac:dyDescent="0.2">
      <c r="B11" s="37" t="s">
        <v>85</v>
      </c>
      <c r="C11" s="47" t="s">
        <v>70</v>
      </c>
      <c r="D11" s="78">
        <f>[2]EB1!D22</f>
        <v>0</v>
      </c>
      <c r="E11" s="78">
        <f>[2]EB1!E22</f>
        <v>0</v>
      </c>
      <c r="F11" s="78">
        <f>[2]EB1!F22</f>
        <v>0</v>
      </c>
      <c r="G11" s="78">
        <f>[2]EB1!G22</f>
        <v>0</v>
      </c>
      <c r="H11" s="78">
        <f>[2]EB1!H22</f>
        <v>0</v>
      </c>
      <c r="I11" s="78">
        <f>[2]EB1!I22</f>
        <v>0</v>
      </c>
      <c r="J11" s="78">
        <f>[2]EB1!J22</f>
        <v>0</v>
      </c>
      <c r="K11" s="78">
        <f>[2]EB1!K22</f>
        <v>0</v>
      </c>
      <c r="L11" s="78">
        <f>[2]EB1!L22</f>
        <v>0</v>
      </c>
      <c r="M11" s="78">
        <f>[2]EB1!M22</f>
        <v>0</v>
      </c>
      <c r="N11" s="78">
        <f>[2]EB1!N22</f>
        <v>0</v>
      </c>
      <c r="O11" s="78">
        <f>[2]EB1!O22</f>
        <v>0</v>
      </c>
      <c r="P11" s="78">
        <f>[2]EB1!P22</f>
        <v>0</v>
      </c>
      <c r="Q11" s="78">
        <f>[2]EB1!Q22</f>
        <v>0</v>
      </c>
      <c r="R11" s="78">
        <f>[2]EB1!R22</f>
        <v>0</v>
      </c>
      <c r="S11" s="78">
        <f>[2]EB1!S22</f>
        <v>0</v>
      </c>
      <c r="T11" s="78">
        <f>[2]EB1!T22</f>
        <v>0</v>
      </c>
      <c r="U11" s="78">
        <f>[2]EB1!U22</f>
        <v>0</v>
      </c>
      <c r="V11" s="79">
        <f t="shared" si="0"/>
        <v>0</v>
      </c>
    </row>
    <row r="12" spans="2:27" x14ac:dyDescent="0.2">
      <c r="B12" s="37" t="s">
        <v>86</v>
      </c>
      <c r="C12" s="47" t="s">
        <v>71</v>
      </c>
      <c r="D12" s="78">
        <f>[2]EB1!D23</f>
        <v>0</v>
      </c>
      <c r="E12" s="78">
        <f>[2]EB1!E23</f>
        <v>0</v>
      </c>
      <c r="F12" s="78">
        <f>[2]EB1!F23</f>
        <v>0</v>
      </c>
      <c r="G12" s="78">
        <f>[2]EB1!G23</f>
        <v>0</v>
      </c>
      <c r="H12" s="78">
        <f>[2]EB1!H23</f>
        <v>0</v>
      </c>
      <c r="I12" s="78">
        <f>[2]EB1!I23</f>
        <v>0</v>
      </c>
      <c r="J12" s="78">
        <f>[2]EB1!J23</f>
        <v>0</v>
      </c>
      <c r="K12" s="78">
        <f>[2]EB1!K23</f>
        <v>0</v>
      </c>
      <c r="L12" s="78">
        <f>[2]EB1!L23</f>
        <v>0</v>
      </c>
      <c r="M12" s="78">
        <f>[2]EB1!M23</f>
        <v>0</v>
      </c>
      <c r="N12" s="78">
        <f>[2]EB1!N23</f>
        <v>0</v>
      </c>
      <c r="O12" s="41">
        <f>[2]EB1!O23</f>
        <v>0</v>
      </c>
      <c r="P12" s="41">
        <f>[2]EB1!P23</f>
        <v>0</v>
      </c>
      <c r="Q12" s="41">
        <f>[2]EB1!Q23</f>
        <v>0</v>
      </c>
      <c r="R12" s="78">
        <f>[2]EB1!R23</f>
        <v>0</v>
      </c>
      <c r="S12" s="78">
        <f>[2]EB1!S23</f>
        <v>0</v>
      </c>
      <c r="T12" s="78">
        <f>[2]EB1!T23</f>
        <v>0</v>
      </c>
      <c r="U12" s="78">
        <f>[2]EB1!U23</f>
        <v>0</v>
      </c>
      <c r="V12" s="79">
        <f t="shared" si="0"/>
        <v>0</v>
      </c>
    </row>
    <row r="13" spans="2:27" ht="15" x14ac:dyDescent="0.25">
      <c r="B13" s="75" t="s">
        <v>88</v>
      </c>
      <c r="C13" s="45" t="s">
        <v>152</v>
      </c>
      <c r="D13" s="43">
        <f t="shared" ref="D13:V13" si="1">SUM(D5:D12)</f>
        <v>20.32984476</v>
      </c>
      <c r="E13" s="43">
        <f t="shared" si="1"/>
        <v>0</v>
      </c>
      <c r="F13" s="43">
        <f t="shared" si="1"/>
        <v>0</v>
      </c>
      <c r="G13" s="43">
        <f t="shared" si="1"/>
        <v>77.623272</v>
      </c>
      <c r="H13" s="43">
        <f t="shared" si="1"/>
        <v>2.9927246400000005</v>
      </c>
      <c r="I13" s="43">
        <f t="shared" si="1"/>
        <v>15.400725120000001</v>
      </c>
      <c r="J13" s="43">
        <f t="shared" si="1"/>
        <v>28.510014600000005</v>
      </c>
      <c r="K13" s="43">
        <f t="shared" si="1"/>
        <v>0</v>
      </c>
      <c r="L13" s="43">
        <f t="shared" si="1"/>
        <v>1.3062815999999999</v>
      </c>
      <c r="M13" s="43">
        <f t="shared" si="1"/>
        <v>8.1895482719999997</v>
      </c>
      <c r="N13" s="43">
        <f t="shared" si="1"/>
        <v>0</v>
      </c>
      <c r="O13" s="43">
        <f t="shared" si="1"/>
        <v>99.07978464</v>
      </c>
      <c r="P13" s="43">
        <f t="shared" si="1"/>
        <v>0</v>
      </c>
      <c r="Q13" s="43">
        <f t="shared" si="1"/>
        <v>0</v>
      </c>
      <c r="R13" s="43">
        <f t="shared" si="1"/>
        <v>0</v>
      </c>
      <c r="S13" s="43">
        <f t="shared" si="1"/>
        <v>2.9307600000000002E-4</v>
      </c>
      <c r="T13" s="43">
        <f t="shared" si="1"/>
        <v>1.0048319999999998E-3</v>
      </c>
      <c r="U13" s="43">
        <f>SUM(U5:U12)</f>
        <v>42.547098960000007</v>
      </c>
      <c r="V13" s="44">
        <f t="shared" si="1"/>
        <v>295.9805925</v>
      </c>
    </row>
    <row r="14" spans="2:27" x14ac:dyDescent="0.2">
      <c r="D14" s="6"/>
      <c r="F14" s="6"/>
      <c r="G14" s="6"/>
      <c r="H14" s="6"/>
      <c r="I14" s="6"/>
      <c r="J14" s="6"/>
      <c r="K14" s="6"/>
      <c r="L14" s="6"/>
      <c r="M14" s="6"/>
    </row>
    <row r="15" spans="2:27" x14ac:dyDescent="0.2">
      <c r="D15" s="6"/>
      <c r="F15" s="6"/>
      <c r="G15" s="6"/>
      <c r="H15" s="6"/>
      <c r="I15" s="6"/>
      <c r="J15" s="6"/>
      <c r="K15" s="6"/>
      <c r="L15" s="6"/>
      <c r="M15" s="6"/>
    </row>
    <row r="16" spans="2:27" ht="15" x14ac:dyDescent="0.25">
      <c r="C16" s="42" t="s">
        <v>147</v>
      </c>
      <c r="D16" s="42"/>
      <c r="E16" s="42"/>
      <c r="F16" s="6"/>
      <c r="G16" s="6"/>
      <c r="H16" s="6"/>
      <c r="I16" s="6"/>
      <c r="J16" s="6"/>
      <c r="K16" s="6"/>
      <c r="L16" s="6"/>
      <c r="M16" s="6"/>
    </row>
    <row r="17" spans="2:24" x14ac:dyDescent="0.2">
      <c r="D17" s="6"/>
      <c r="F17" s="6"/>
      <c r="G17" s="6"/>
      <c r="H17" s="6"/>
      <c r="I17" s="6"/>
      <c r="J17" s="6"/>
      <c r="K17" s="6"/>
      <c r="L17" s="6"/>
      <c r="M17" s="6"/>
    </row>
    <row r="18" spans="2:24" x14ac:dyDescent="0.2">
      <c r="D18" s="6"/>
      <c r="F18" s="6"/>
      <c r="G18" s="6"/>
      <c r="H18" s="6"/>
      <c r="I18" s="6"/>
      <c r="J18" s="6"/>
      <c r="K18" s="6"/>
      <c r="L18" s="6"/>
      <c r="M18" s="6"/>
    </row>
    <row r="19" spans="2:24" ht="25.5" x14ac:dyDescent="0.2">
      <c r="B19" s="22" t="s">
        <v>100</v>
      </c>
      <c r="C19" s="152" t="s">
        <v>116</v>
      </c>
      <c r="D19" s="84" t="s">
        <v>51</v>
      </c>
      <c r="E19" s="153" t="s">
        <v>52</v>
      </c>
      <c r="F19" s="153" t="s">
        <v>127</v>
      </c>
      <c r="G19" s="153" t="s">
        <v>141</v>
      </c>
      <c r="H19" s="153" t="s">
        <v>137</v>
      </c>
      <c r="I19" s="153" t="s">
        <v>130</v>
      </c>
      <c r="J19" s="153" t="s">
        <v>138</v>
      </c>
      <c r="K19" s="153" t="s">
        <v>139</v>
      </c>
      <c r="L19" s="153" t="s">
        <v>135</v>
      </c>
      <c r="M19" s="153" t="s">
        <v>136</v>
      </c>
      <c r="N19" s="153" t="s">
        <v>53</v>
      </c>
      <c r="O19" s="153" t="s">
        <v>163</v>
      </c>
      <c r="P19" s="153" t="s">
        <v>164</v>
      </c>
      <c r="Q19" s="153" t="s">
        <v>165</v>
      </c>
      <c r="R19" s="153" t="s">
        <v>166</v>
      </c>
      <c r="S19" s="153" t="s">
        <v>54</v>
      </c>
      <c r="T19" s="153" t="s">
        <v>55</v>
      </c>
      <c r="U19" s="154" t="s">
        <v>87</v>
      </c>
      <c r="V19" s="156" t="s">
        <v>56</v>
      </c>
    </row>
    <row r="20" spans="2:24" x14ac:dyDescent="0.2">
      <c r="B20" s="37" t="s">
        <v>64</v>
      </c>
      <c r="C20" s="155" t="s">
        <v>68</v>
      </c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51"/>
      <c r="W20" s="83"/>
      <c r="X20" s="50" t="s">
        <v>69</v>
      </c>
    </row>
    <row r="21" spans="2:24" ht="15" x14ac:dyDescent="0.25">
      <c r="B21" s="82" t="s">
        <v>58</v>
      </c>
      <c r="C21" s="38" t="s">
        <v>175</v>
      </c>
      <c r="D21" s="97"/>
      <c r="E21" s="58"/>
      <c r="F21" s="98"/>
      <c r="G21" s="98"/>
      <c r="H21" s="98"/>
      <c r="I21" s="58">
        <v>0</v>
      </c>
      <c r="J21" s="98"/>
      <c r="K21" s="98"/>
      <c r="L21" s="98"/>
      <c r="M21" s="98"/>
      <c r="N21" s="98"/>
      <c r="O21" s="58">
        <v>0</v>
      </c>
      <c r="P21" s="98"/>
      <c r="Q21" s="98"/>
      <c r="R21" s="98"/>
      <c r="S21" s="98"/>
      <c r="T21" s="98"/>
      <c r="U21" s="93">
        <v>0.4</v>
      </c>
      <c r="V21" s="46"/>
      <c r="W21" s="83"/>
      <c r="X21" s="50" t="s">
        <v>176</v>
      </c>
    </row>
    <row r="22" spans="2:24" ht="15" x14ac:dyDescent="0.25">
      <c r="B22" s="82" t="s">
        <v>58</v>
      </c>
      <c r="C22" s="38" t="s">
        <v>101</v>
      </c>
      <c r="D22" s="97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3">
        <v>0.35</v>
      </c>
      <c r="V22" s="47"/>
      <c r="W22" s="83"/>
      <c r="X22" s="51" t="s">
        <v>103</v>
      </c>
    </row>
    <row r="23" spans="2:24" ht="15" x14ac:dyDescent="0.25">
      <c r="B23" s="82" t="s">
        <v>58</v>
      </c>
      <c r="C23" s="40" t="s">
        <v>102</v>
      </c>
      <c r="D23" s="99"/>
      <c r="E23" s="100"/>
      <c r="F23" s="96"/>
      <c r="G23" s="96"/>
      <c r="H23" s="96"/>
      <c r="I23" s="100">
        <f>1-I21-I22</f>
        <v>1</v>
      </c>
      <c r="J23" s="96"/>
      <c r="K23" s="96"/>
      <c r="L23" s="96"/>
      <c r="M23" s="96"/>
      <c r="N23" s="96"/>
      <c r="O23" s="100">
        <f>1-O21-O22</f>
        <v>1</v>
      </c>
      <c r="P23" s="96"/>
      <c r="Q23" s="96"/>
      <c r="R23" s="96"/>
      <c r="S23" s="96"/>
      <c r="T23" s="96"/>
      <c r="U23" s="109">
        <f>1-U21-U22</f>
        <v>0.25</v>
      </c>
      <c r="V23" s="48"/>
      <c r="W23" s="83"/>
      <c r="X23" s="52" t="s">
        <v>69</v>
      </c>
    </row>
    <row r="24" spans="2:24" ht="15" x14ac:dyDescent="0.25">
      <c r="B24" s="82" t="s">
        <v>60</v>
      </c>
      <c r="C24" s="49" t="s">
        <v>175</v>
      </c>
      <c r="D24" s="97"/>
      <c r="E24" s="58"/>
      <c r="F24" s="98"/>
      <c r="G24" s="98"/>
      <c r="H24" s="98"/>
      <c r="I24" s="58">
        <v>0</v>
      </c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3">
        <v>0.55000000000000004</v>
      </c>
      <c r="V24" s="46"/>
      <c r="W24" s="83"/>
      <c r="X24" s="50" t="s">
        <v>176</v>
      </c>
    </row>
    <row r="25" spans="2:24" ht="15" x14ac:dyDescent="0.25">
      <c r="B25" s="82" t="s">
        <v>60</v>
      </c>
      <c r="C25" s="38" t="s">
        <v>101</v>
      </c>
      <c r="D25" s="97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3">
        <v>0.25</v>
      </c>
      <c r="V25" s="47"/>
      <c r="W25" s="83"/>
      <c r="X25" s="51" t="s">
        <v>103</v>
      </c>
    </row>
    <row r="26" spans="2:24" ht="15" x14ac:dyDescent="0.25">
      <c r="B26" s="82" t="s">
        <v>60</v>
      </c>
      <c r="C26" s="40" t="s">
        <v>102</v>
      </c>
      <c r="D26" s="99"/>
      <c r="E26" s="100"/>
      <c r="F26" s="96"/>
      <c r="G26" s="96"/>
      <c r="H26" s="96"/>
      <c r="I26" s="100">
        <f>1-I24-I25</f>
        <v>1</v>
      </c>
      <c r="J26" s="96"/>
      <c r="K26" s="96"/>
      <c r="L26" s="96"/>
      <c r="M26" s="100">
        <f>1-M24-M25</f>
        <v>1</v>
      </c>
      <c r="N26" s="96"/>
      <c r="O26" s="96"/>
      <c r="P26" s="96"/>
      <c r="Q26" s="96"/>
      <c r="R26" s="96"/>
      <c r="S26" s="96"/>
      <c r="T26" s="96"/>
      <c r="U26" s="109">
        <f>1-U24-U25</f>
        <v>0.19999999999999996</v>
      </c>
      <c r="V26" s="48"/>
      <c r="W26" s="83"/>
      <c r="X26" s="52" t="s">
        <v>69</v>
      </c>
    </row>
    <row r="29" spans="2:24" x14ac:dyDescent="0.2">
      <c r="C29" s="55" t="s">
        <v>107</v>
      </c>
      <c r="D29" s="57" t="s">
        <v>108</v>
      </c>
      <c r="E29" s="56" t="s">
        <v>109</v>
      </c>
    </row>
    <row r="30" spans="2:24" x14ac:dyDescent="0.2">
      <c r="B30" s="20" t="s">
        <v>117</v>
      </c>
      <c r="C30" s="84" t="s">
        <v>110</v>
      </c>
      <c r="D30" s="84" t="s">
        <v>111</v>
      </c>
      <c r="E30" s="85" t="s">
        <v>109</v>
      </c>
    </row>
    <row r="31" spans="2:24" x14ac:dyDescent="0.2">
      <c r="B31" s="37" t="s">
        <v>64</v>
      </c>
      <c r="C31" s="86">
        <v>1</v>
      </c>
      <c r="D31" s="87"/>
      <c r="E31" s="88"/>
    </row>
    <row r="32" spans="2:24" x14ac:dyDescent="0.2">
      <c r="B32" s="37" t="s">
        <v>58</v>
      </c>
      <c r="C32" s="89">
        <v>1</v>
      </c>
      <c r="D32" s="53"/>
      <c r="E32" s="90"/>
    </row>
    <row r="33" spans="2:5" x14ac:dyDescent="0.2">
      <c r="B33" s="37" t="s">
        <v>60</v>
      </c>
      <c r="C33" s="91">
        <v>1</v>
      </c>
      <c r="D33" s="54"/>
      <c r="E33" s="9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>
      <selection activeCell="K14" sqref="K14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  <col min="4" max="4" width="5.42578125" customWidth="1"/>
  </cols>
  <sheetData>
    <row r="3" spans="2:10" ht="18" x14ac:dyDescent="0.25">
      <c r="B3" s="67" t="s">
        <v>151</v>
      </c>
    </row>
    <row r="5" spans="2:10" x14ac:dyDescent="0.2">
      <c r="E5" s="68" t="s">
        <v>158</v>
      </c>
      <c r="F5" s="68"/>
      <c r="G5" s="68"/>
      <c r="H5" s="68"/>
      <c r="I5" s="68"/>
      <c r="J5" s="68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topLeftCell="B1" zoomScaleNormal="100" workbookViewId="0">
      <selection activeCell="B3" sqref="B3:R25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75" x14ac:dyDescent="0.25">
      <c r="B2" s="9" t="str">
        <f>'EB1'!B8</f>
        <v>AGR</v>
      </c>
      <c r="C2" s="9" t="str">
        <f>'EB1'!C8</f>
        <v>Agriculture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1" t="s">
        <v>14</v>
      </c>
      <c r="K2" s="121"/>
      <c r="L2" s="122"/>
      <c r="M2" s="122"/>
      <c r="N2" s="122"/>
      <c r="O2" s="122"/>
      <c r="P2" s="122"/>
      <c r="Q2" s="122"/>
      <c r="R2" s="122"/>
    </row>
    <row r="3" spans="2:18" x14ac:dyDescent="0.2">
      <c r="J3" s="123" t="s">
        <v>7</v>
      </c>
      <c r="K3" s="124" t="s">
        <v>30</v>
      </c>
      <c r="L3" s="123" t="s">
        <v>0</v>
      </c>
      <c r="M3" s="123" t="s">
        <v>3</v>
      </c>
      <c r="N3" s="123" t="s">
        <v>4</v>
      </c>
      <c r="O3" s="123" t="s">
        <v>8</v>
      </c>
      <c r="P3" s="123" t="s">
        <v>9</v>
      </c>
      <c r="Q3" s="123" t="s">
        <v>10</v>
      </c>
      <c r="R3" s="123" t="s">
        <v>12</v>
      </c>
    </row>
    <row r="4" spans="2:18" ht="24" thickBot="1" x14ac:dyDescent="0.3">
      <c r="B4" s="8"/>
      <c r="C4" s="8"/>
      <c r="D4" s="8"/>
      <c r="E4" s="8"/>
      <c r="G4" s="8"/>
      <c r="J4" s="125" t="s">
        <v>37</v>
      </c>
      <c r="K4" s="125" t="s">
        <v>31</v>
      </c>
      <c r="L4" s="125" t="s">
        <v>26</v>
      </c>
      <c r="M4" s="125" t="s">
        <v>27</v>
      </c>
      <c r="N4" s="125" t="s">
        <v>4</v>
      </c>
      <c r="O4" s="125" t="s">
        <v>40</v>
      </c>
      <c r="P4" s="125" t="s">
        <v>41</v>
      </c>
      <c r="Q4" s="125" t="s">
        <v>28</v>
      </c>
      <c r="R4" s="125" t="s">
        <v>29</v>
      </c>
    </row>
    <row r="5" spans="2:18" x14ac:dyDescent="0.2">
      <c r="E5" s="158"/>
      <c r="F5" s="158"/>
      <c r="G5" s="159"/>
      <c r="H5" s="160"/>
      <c r="J5" s="126" t="s">
        <v>72</v>
      </c>
      <c r="K5" s="126"/>
      <c r="L5" s="126" t="str">
        <f>$B$2&amp;[3]EB2!$D$2</f>
        <v>AGRCOA</v>
      </c>
      <c r="M5" s="127" t="str">
        <f>$C$2&amp;" "&amp;[3]EB2!$D$3</f>
        <v>Agriculture Solid Fuels</v>
      </c>
      <c r="N5" s="126" t="str">
        <f>$E$2</f>
        <v>PJ</v>
      </c>
      <c r="O5" s="126"/>
      <c r="P5" s="126"/>
      <c r="Q5" s="126"/>
      <c r="R5" s="126"/>
    </row>
    <row r="6" spans="2:18" x14ac:dyDescent="0.2">
      <c r="E6" s="158"/>
      <c r="F6" s="158"/>
      <c r="G6" s="159"/>
      <c r="H6" s="160"/>
      <c r="J6" s="126"/>
      <c r="K6" s="126"/>
      <c r="L6" s="126" t="str">
        <f>$B$2&amp;[3]EB2!$E$2</f>
        <v>AGRGAS</v>
      </c>
      <c r="M6" s="127" t="str">
        <f>$C$2&amp;" "&amp;[3]EB2!$E$3</f>
        <v>Agriculture Natural Gas</v>
      </c>
      <c r="N6" s="126" t="str">
        <f>$E$2</f>
        <v>PJ</v>
      </c>
      <c r="O6" s="126"/>
      <c r="P6" s="126"/>
      <c r="Q6" s="126"/>
      <c r="R6" s="126"/>
    </row>
    <row r="7" spans="2:18" x14ac:dyDescent="0.2">
      <c r="E7" s="158"/>
      <c r="F7" s="158"/>
      <c r="G7" s="159"/>
      <c r="H7" s="160"/>
      <c r="J7" s="126"/>
      <c r="K7" s="126"/>
      <c r="L7" s="126" t="str">
        <f>$B$2&amp;[3]EB2!$F$2</f>
        <v>AGROIL</v>
      </c>
      <c r="M7" s="127" t="str">
        <f>$C$2&amp;" "&amp;RIGHT([3]EB2!$F$3,3)</f>
        <v>Agriculture oil</v>
      </c>
      <c r="N7" s="126" t="str">
        <f>$E$2</f>
        <v>PJ</v>
      </c>
      <c r="O7" s="126"/>
      <c r="P7" s="126"/>
      <c r="Q7" s="126"/>
      <c r="R7" s="126"/>
    </row>
    <row r="8" spans="2:18" x14ac:dyDescent="0.2">
      <c r="E8" s="158"/>
      <c r="F8" s="158"/>
      <c r="G8" s="159"/>
      <c r="H8" s="160"/>
      <c r="J8" s="126"/>
      <c r="K8" s="126"/>
      <c r="L8" s="126" t="str">
        <f>$B$2&amp;[3]EB2!$O$2</f>
        <v>AGRBIO</v>
      </c>
      <c r="M8" s="127" t="str">
        <f>$C$2&amp;" "&amp;[3]EB2!$O$3</f>
        <v>Agriculture Biomass</v>
      </c>
      <c r="N8" s="126" t="str">
        <f>$E$2</f>
        <v>PJ</v>
      </c>
      <c r="O8" s="126"/>
      <c r="P8" s="126"/>
      <c r="Q8" s="126"/>
      <c r="R8" s="126"/>
    </row>
    <row r="9" spans="2:18" x14ac:dyDescent="0.2">
      <c r="E9" s="158"/>
      <c r="F9" s="158"/>
      <c r="G9" s="159"/>
      <c r="H9" s="160"/>
      <c r="J9" s="126"/>
      <c r="K9" s="126"/>
      <c r="L9" s="126" t="str">
        <f>$B$2&amp;[3]EB2!$U$2</f>
        <v>AGRELC</v>
      </c>
      <c r="M9" s="127" t="str">
        <f>$C$2&amp;" "&amp;[3]EB2!$U$3</f>
        <v>Agriculture Electricity</v>
      </c>
      <c r="N9" s="126" t="str">
        <f>$E$2</f>
        <v>PJ</v>
      </c>
      <c r="O9" s="126"/>
      <c r="P9" s="126" t="s">
        <v>124</v>
      </c>
      <c r="Q9" s="126"/>
      <c r="R9" s="126" t="s">
        <v>50</v>
      </c>
    </row>
    <row r="10" spans="2:18" x14ac:dyDescent="0.2">
      <c r="E10" s="158"/>
      <c r="F10" s="158"/>
      <c r="G10" s="159"/>
      <c r="H10" s="160"/>
      <c r="M10" s="19"/>
    </row>
    <row r="11" spans="2:18" x14ac:dyDescent="0.2">
      <c r="L11" s="23"/>
      <c r="M11" s="24"/>
    </row>
    <row r="12" spans="2:18" x14ac:dyDescent="0.2">
      <c r="D12" s="4" t="s">
        <v>13</v>
      </c>
      <c r="E12" s="4"/>
      <c r="F12" s="4"/>
      <c r="J12" s="121" t="s">
        <v>15</v>
      </c>
      <c r="K12" s="121"/>
      <c r="L12" s="126"/>
      <c r="M12" s="126"/>
      <c r="N12" s="126"/>
      <c r="O12" s="126"/>
      <c r="P12" s="126"/>
      <c r="Q12" s="126"/>
      <c r="R12" s="126"/>
    </row>
    <row r="13" spans="2:18" x14ac:dyDescent="0.2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3" t="s">
        <v>11</v>
      </c>
      <c r="K13" s="124" t="s">
        <v>30</v>
      </c>
      <c r="L13" s="123" t="s">
        <v>1</v>
      </c>
      <c r="M13" s="123" t="s">
        <v>2</v>
      </c>
      <c r="N13" s="123" t="s">
        <v>16</v>
      </c>
      <c r="O13" s="123" t="s">
        <v>17</v>
      </c>
      <c r="P13" s="123" t="s">
        <v>18</v>
      </c>
      <c r="Q13" s="123" t="s">
        <v>19</v>
      </c>
      <c r="R13" s="123" t="s">
        <v>20</v>
      </c>
    </row>
    <row r="14" spans="2:18" ht="23.25" thickBot="1" x14ac:dyDescent="0.25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5" t="s">
        <v>38</v>
      </c>
      <c r="K14" s="125" t="s">
        <v>31</v>
      </c>
      <c r="L14" s="125" t="s">
        <v>21</v>
      </c>
      <c r="M14" s="125" t="s">
        <v>22</v>
      </c>
      <c r="N14" s="125" t="s">
        <v>23</v>
      </c>
      <c r="O14" s="125" t="s">
        <v>24</v>
      </c>
      <c r="P14" s="125" t="s">
        <v>43</v>
      </c>
      <c r="Q14" s="125" t="s">
        <v>42</v>
      </c>
      <c r="R14" s="125" t="s">
        <v>25</v>
      </c>
    </row>
    <row r="15" spans="2:18" ht="13.5" thickBot="1" x14ac:dyDescent="0.2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5" t="s">
        <v>81</v>
      </c>
      <c r="K15" s="128"/>
      <c r="L15" s="128"/>
      <c r="M15" s="128"/>
      <c r="N15" s="128"/>
      <c r="O15" s="128"/>
      <c r="P15" s="128"/>
      <c r="Q15" s="128"/>
      <c r="R15" s="128"/>
    </row>
    <row r="16" spans="2:18" x14ac:dyDescent="0.2">
      <c r="B16" t="str">
        <f>L16</f>
        <v>FTE-AGRCOA</v>
      </c>
      <c r="C16" t="str">
        <f>RIGHT(D16,3)</f>
        <v>COA</v>
      </c>
      <c r="D16" t="str">
        <f>L5</f>
        <v>AGRCOA</v>
      </c>
      <c r="E16" s="158"/>
      <c r="G16" s="161">
        <v>1</v>
      </c>
      <c r="H16" s="162">
        <v>30</v>
      </c>
      <c r="J16" s="157" t="s">
        <v>113</v>
      </c>
      <c r="K16" s="126"/>
      <c r="L16" s="126" t="str">
        <f>"FT"&amp;$G$2&amp;"-"&amp;L5</f>
        <v>FTE-AGRCOA</v>
      </c>
      <c r="M16" s="127" t="str">
        <f>$D$2&amp;" Technology"&amp;" "&amp;$G$1&amp;" "&amp;M5</f>
        <v>Sector Fuel Technology Existing Agriculture Solid Fuels</v>
      </c>
      <c r="N16" s="126" t="str">
        <f>$E$2</f>
        <v>PJ</v>
      </c>
      <c r="O16" s="126" t="str">
        <f>$E$2&amp;"a"</f>
        <v>PJa</v>
      </c>
      <c r="P16" s="126"/>
      <c r="Q16" s="126"/>
      <c r="R16" s="126"/>
    </row>
    <row r="17" spans="2:18" x14ac:dyDescent="0.2">
      <c r="B17" t="str">
        <f>L17</f>
        <v>FTE-AGRGAS</v>
      </c>
      <c r="C17" t="str">
        <f>RIGHT(D17,3)</f>
        <v>GAS</v>
      </c>
      <c r="D17" t="str">
        <f>L6</f>
        <v>AGRGAS</v>
      </c>
      <c r="E17" s="158"/>
      <c r="G17" s="161">
        <v>1</v>
      </c>
      <c r="H17" s="162">
        <v>30</v>
      </c>
      <c r="J17" s="126"/>
      <c r="K17" s="126"/>
      <c r="L17" s="126" t="str">
        <f>"FT"&amp;$G$2&amp;"-"&amp;L6</f>
        <v>FTE-AGRGAS</v>
      </c>
      <c r="M17" s="127" t="str">
        <f>$D$2&amp;" Technology"&amp;" "&amp;$G$1&amp;" "&amp;M6</f>
        <v>Sector Fuel Technology Existing Agriculture Natural Gas</v>
      </c>
      <c r="N17" s="126" t="str">
        <f>$E$2</f>
        <v>PJ</v>
      </c>
      <c r="O17" s="126" t="str">
        <f>$E$2&amp;"a"</f>
        <v>PJa</v>
      </c>
      <c r="P17" s="126"/>
      <c r="Q17" s="126"/>
      <c r="R17" s="126"/>
    </row>
    <row r="18" spans="2:18" x14ac:dyDescent="0.2">
      <c r="B18" t="str">
        <f>L18</f>
        <v>FTE-AGROIL</v>
      </c>
      <c r="C18" t="str">
        <f>[3]EB2!$G$2</f>
        <v>DSL</v>
      </c>
      <c r="D18" t="str">
        <f>L7</f>
        <v>AGROIL</v>
      </c>
      <c r="E18" s="158"/>
      <c r="G18" s="161">
        <v>1</v>
      </c>
      <c r="H18" s="162">
        <v>30</v>
      </c>
      <c r="J18" s="126"/>
      <c r="K18" s="126"/>
      <c r="L18" s="126" t="str">
        <f>"FT"&amp;$G$2&amp;"-"&amp;L7</f>
        <v>FTE-AGROIL</v>
      </c>
      <c r="M18" s="127" t="str">
        <f>$D$2&amp;" Technology"&amp;" "&amp;$G$1&amp;" "&amp;M7</f>
        <v>Sector Fuel Technology Existing Agriculture oil</v>
      </c>
      <c r="N18" s="126" t="str">
        <f>$E$2</f>
        <v>PJ</v>
      </c>
      <c r="O18" s="126" t="str">
        <f>$E$2&amp;"a"</f>
        <v>PJa</v>
      </c>
      <c r="P18" s="126"/>
      <c r="Q18" s="126"/>
      <c r="R18" s="126"/>
    </row>
    <row r="19" spans="2:18" x14ac:dyDescent="0.2">
      <c r="C19" t="str">
        <f>[3]EB2!$H$2</f>
        <v>KER</v>
      </c>
      <c r="E19" s="158"/>
      <c r="G19" s="159"/>
      <c r="H19" s="160"/>
      <c r="J19" s="126"/>
      <c r="K19" s="126"/>
      <c r="L19" s="126" t="str">
        <f>"FT"&amp;$G$2&amp;"-"&amp;L8</f>
        <v>FTE-AGRBIO</v>
      </c>
      <c r="M19" s="127" t="str">
        <f>$D$2&amp;" Technology"&amp;" "&amp;$G$1&amp;" "&amp;M8</f>
        <v>Sector Fuel Technology Existing Agriculture Biomass</v>
      </c>
      <c r="N19" s="126" t="str">
        <f>$E$2</f>
        <v>PJ</v>
      </c>
      <c r="O19" s="126" t="str">
        <f>$E$2&amp;"a"</f>
        <v>PJa</v>
      </c>
      <c r="P19" s="126"/>
      <c r="Q19" s="126"/>
      <c r="R19" s="126"/>
    </row>
    <row r="20" spans="2:18" x14ac:dyDescent="0.2">
      <c r="C20" t="str">
        <f>[3]EB2!$I$2</f>
        <v>LPG</v>
      </c>
      <c r="E20" s="158"/>
      <c r="G20" s="159"/>
      <c r="H20" s="160"/>
      <c r="J20" s="126"/>
      <c r="K20" s="126"/>
      <c r="L20" s="126" t="str">
        <f>"FT"&amp;$G$2&amp;"-"&amp;L9</f>
        <v>FTE-AGRELC</v>
      </c>
      <c r="M20" s="127" t="str">
        <f>$D$2&amp;" Technology"&amp;" "&amp;$G$1&amp;" "&amp;M9</f>
        <v>Sector Fuel Technology Existing Agriculture Electricity</v>
      </c>
      <c r="N20" s="126" t="str">
        <f>$E$2</f>
        <v>PJ</v>
      </c>
      <c r="O20" s="126" t="str">
        <f>$E$2&amp;"a"</f>
        <v>PJa</v>
      </c>
      <c r="P20" s="126" t="s">
        <v>124</v>
      </c>
      <c r="Q20" s="126"/>
      <c r="R20" s="126"/>
    </row>
    <row r="21" spans="2:18" x14ac:dyDescent="0.2">
      <c r="C21" t="str">
        <f>[3]EB2!$J$2</f>
        <v>GSL</v>
      </c>
      <c r="E21" s="158"/>
      <c r="G21" s="159"/>
      <c r="H21" s="160"/>
      <c r="M21" s="19"/>
    </row>
    <row r="22" spans="2:18" x14ac:dyDescent="0.2">
      <c r="C22" t="str">
        <f>[3]EB2!$L$2</f>
        <v>HFO</v>
      </c>
      <c r="E22" s="158"/>
      <c r="G22" s="159"/>
      <c r="H22" s="160"/>
      <c r="M22" s="19"/>
    </row>
    <row r="23" spans="2:18" x14ac:dyDescent="0.2">
      <c r="C23" t="str">
        <f>[3]EB2!$M$2</f>
        <v>OPP</v>
      </c>
      <c r="E23" s="158"/>
      <c r="G23" s="159"/>
      <c r="H23" s="160"/>
      <c r="M23" s="19"/>
    </row>
    <row r="24" spans="2:18" x14ac:dyDescent="0.2">
      <c r="B24" t="str">
        <f>L19</f>
        <v>FTE-AGRBIO</v>
      </c>
      <c r="C24" t="str">
        <f>RIGHT(D24,3)</f>
        <v>BIO</v>
      </c>
      <c r="D24" t="str">
        <f>L8</f>
        <v>AGRBIO</v>
      </c>
      <c r="E24" s="158"/>
      <c r="G24" s="161">
        <v>1</v>
      </c>
      <c r="H24" s="162">
        <v>30</v>
      </c>
      <c r="J24" s="23"/>
      <c r="K24" s="23"/>
      <c r="M24" s="19"/>
    </row>
    <row r="25" spans="2:18" x14ac:dyDescent="0.2">
      <c r="B25" t="str">
        <f>L20</f>
        <v>FTE-AGRELC</v>
      </c>
      <c r="C25" t="str">
        <f>RIGHT(D25,3)</f>
        <v>ELC</v>
      </c>
      <c r="D25" t="str">
        <f>L9</f>
        <v>AGRELC</v>
      </c>
      <c r="E25" s="158"/>
      <c r="G25" s="161">
        <v>1</v>
      </c>
      <c r="H25" s="162">
        <v>30</v>
      </c>
      <c r="J25" s="23"/>
      <c r="K25" s="23"/>
      <c r="M25" s="19"/>
    </row>
    <row r="26" spans="2:18" x14ac:dyDescent="0.2">
      <c r="E26" s="11"/>
      <c r="F26" s="11"/>
      <c r="G26" s="66"/>
      <c r="H26" s="10"/>
      <c r="J26" s="23"/>
      <c r="K26" s="23"/>
      <c r="M26" s="19"/>
    </row>
    <row r="27" spans="2:18" x14ac:dyDescent="0.2">
      <c r="E27" s="11"/>
      <c r="F27" s="11"/>
      <c r="G27" s="66"/>
      <c r="H27" s="10"/>
      <c r="M27" s="19"/>
    </row>
    <row r="28" spans="2:18" x14ac:dyDescent="0.2">
      <c r="E28" s="11"/>
      <c r="F28" s="11"/>
      <c r="G28" s="66"/>
      <c r="H28" s="10"/>
    </row>
    <row r="29" spans="2:18" x14ac:dyDescent="0.2">
      <c r="B29" s="23"/>
      <c r="D29" s="23"/>
      <c r="E29" s="11"/>
      <c r="F29" s="11"/>
      <c r="G29" s="66"/>
      <c r="H29" s="10"/>
    </row>
    <row r="30" spans="2:18" x14ac:dyDescent="0.2">
      <c r="B30" s="23"/>
      <c r="D30" s="23"/>
      <c r="E30" s="11"/>
      <c r="F30" s="11"/>
      <c r="G30" s="66"/>
      <c r="H30" s="10"/>
    </row>
    <row r="31" spans="2:18" x14ac:dyDescent="0.2">
      <c r="B31" s="23"/>
      <c r="D31" s="23"/>
      <c r="E31" s="95"/>
      <c r="F31" s="11"/>
      <c r="G31" s="66"/>
      <c r="H31" s="10"/>
    </row>
    <row r="32" spans="2:18" x14ac:dyDescent="0.2">
      <c r="B32" s="23"/>
      <c r="D32" s="23"/>
      <c r="E32" s="95"/>
      <c r="F32" s="11"/>
      <c r="G32" s="66"/>
      <c r="H32" s="10"/>
    </row>
    <row r="33" spans="2:8" x14ac:dyDescent="0.2">
      <c r="B33" s="23"/>
      <c r="D33" s="23"/>
      <c r="E33" s="95"/>
      <c r="F33" s="11"/>
      <c r="G33" s="66"/>
      <c r="H33" s="10"/>
    </row>
    <row r="34" spans="2:8" x14ac:dyDescent="0.2">
      <c r="B34" s="23"/>
      <c r="D34" s="23"/>
      <c r="E34" s="95"/>
      <c r="F34" s="11"/>
      <c r="G34" s="66"/>
      <c r="H34" s="10"/>
    </row>
    <row r="35" spans="2:8" x14ac:dyDescent="0.2">
      <c r="B35" s="23"/>
      <c r="D35" s="23"/>
      <c r="E35" s="11"/>
      <c r="F35" s="11"/>
      <c r="G35" s="66"/>
      <c r="H35" s="10"/>
    </row>
    <row r="36" spans="2:8" x14ac:dyDescent="0.2">
      <c r="B36" s="23"/>
      <c r="D36" s="23"/>
      <c r="E36" s="11"/>
      <c r="F36" s="11"/>
      <c r="G36" s="66"/>
      <c r="H36" s="10"/>
    </row>
    <row r="40" spans="2:8" x14ac:dyDescent="0.2">
      <c r="B40" s="39"/>
      <c r="C40" s="1" t="s">
        <v>149</v>
      </c>
    </row>
    <row r="41" spans="2:8" x14ac:dyDescent="0.2">
      <c r="B41" s="61"/>
      <c r="C41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31"/>
  <sheetViews>
    <sheetView tabSelected="1" zoomScale="115" zoomScaleNormal="115" workbookViewId="0">
      <selection activeCell="P16" sqref="P16"/>
    </sheetView>
  </sheetViews>
  <sheetFormatPr defaultRowHeight="12.75" x14ac:dyDescent="0.2"/>
  <cols>
    <col min="1" max="1" width="3" customWidth="1"/>
    <col min="2" max="2" width="12.7109375" bestFit="1" customWidth="1"/>
    <col min="3" max="3" width="26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6.140625" bestFit="1" customWidth="1"/>
    <col min="8" max="8" width="13.140625" bestFit="1" customWidth="1"/>
    <col min="9" max="9" width="13.140625" customWidth="1"/>
    <col min="10" max="10" width="12.28515625" bestFit="1" customWidth="1"/>
    <col min="11" max="11" width="5.5703125" customWidth="1"/>
    <col min="12" max="12" width="8.140625" customWidth="1"/>
    <col min="13" max="13" width="2" customWidth="1"/>
    <col min="14" max="14" width="12.7109375" bestFit="1" customWidth="1"/>
    <col min="15" max="15" width="7.140625" customWidth="1"/>
    <col min="16" max="16" width="16.140625" bestFit="1" customWidth="1"/>
    <col min="17" max="17" width="77.5703125" bestFit="1" customWidth="1"/>
    <col min="18" max="18" width="5.7109375" customWidth="1"/>
    <col min="19" max="19" width="11.7109375" customWidth="1"/>
    <col min="20" max="20" width="13.42578125" customWidth="1"/>
    <col min="21" max="21" width="13.85546875" customWidth="1"/>
    <col min="22" max="22" width="8.42578125" customWidth="1"/>
  </cols>
  <sheetData>
    <row r="1" spans="2:22" ht="15" x14ac:dyDescent="0.25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21"/>
      <c r="H1" s="7" t="s">
        <v>78</v>
      </c>
      <c r="I1" s="7"/>
      <c r="J1" s="7" t="s">
        <v>98</v>
      </c>
    </row>
    <row r="2" spans="2:22" ht="31.5" x14ac:dyDescent="0.25">
      <c r="B2" s="9" t="str">
        <f>'EB1'!B8</f>
        <v>AGR</v>
      </c>
      <c r="C2" s="9" t="str">
        <f>'EB1'!C8</f>
        <v>Agriculture</v>
      </c>
      <c r="D2" s="18" t="str">
        <f>"Demand Technologies"</f>
        <v>Demand Technologies</v>
      </c>
      <c r="E2" s="9" t="str">
        <f>'EB1'!Z2</f>
        <v>PJ</v>
      </c>
      <c r="F2" s="9" t="s">
        <v>140</v>
      </c>
      <c r="G2" s="9"/>
      <c r="H2" s="9" t="str">
        <f>'EB1'!Y2</f>
        <v>M$2021</v>
      </c>
      <c r="I2" s="9"/>
      <c r="J2" s="9" t="s">
        <v>99</v>
      </c>
      <c r="N2" s="121" t="s">
        <v>14</v>
      </c>
      <c r="O2" s="121"/>
      <c r="P2" s="122"/>
      <c r="Q2" s="122"/>
      <c r="R2" s="122"/>
      <c r="S2" s="122"/>
      <c r="T2" s="122"/>
      <c r="U2" s="122"/>
      <c r="V2" s="122"/>
    </row>
    <row r="3" spans="2:22" x14ac:dyDescent="0.2">
      <c r="L3" s="123" t="s">
        <v>7</v>
      </c>
      <c r="M3" s="124" t="s">
        <v>30</v>
      </c>
      <c r="N3" s="123" t="s">
        <v>0</v>
      </c>
      <c r="O3" s="123" t="s">
        <v>3</v>
      </c>
      <c r="P3" s="123" t="s">
        <v>4</v>
      </c>
      <c r="Q3" s="123" t="s">
        <v>8</v>
      </c>
      <c r="R3" s="123" t="s">
        <v>9</v>
      </c>
      <c r="S3" s="123" t="s">
        <v>10</v>
      </c>
      <c r="T3" s="123" t="s">
        <v>12</v>
      </c>
      <c r="U3" s="123" t="s">
        <v>10</v>
      </c>
      <c r="V3" s="123" t="s">
        <v>12</v>
      </c>
    </row>
    <row r="4" spans="2:22" ht="114" thickBot="1" x14ac:dyDescent="0.3">
      <c r="B4" s="8"/>
      <c r="C4" s="8"/>
      <c r="D4" s="8"/>
      <c r="E4" s="8"/>
      <c r="F4" s="8"/>
      <c r="G4" s="8"/>
      <c r="L4" s="125" t="s">
        <v>37</v>
      </c>
      <c r="M4" s="125" t="s">
        <v>31</v>
      </c>
      <c r="N4" s="125" t="s">
        <v>26</v>
      </c>
      <c r="O4" s="125" t="s">
        <v>27</v>
      </c>
      <c r="P4" s="125" t="s">
        <v>4</v>
      </c>
      <c r="Q4" s="125" t="s">
        <v>40</v>
      </c>
      <c r="R4" s="125" t="s">
        <v>41</v>
      </c>
      <c r="S4" s="125" t="s">
        <v>28</v>
      </c>
      <c r="T4" s="125" t="s">
        <v>29</v>
      </c>
      <c r="U4" s="125" t="s">
        <v>28</v>
      </c>
      <c r="V4" s="125" t="s">
        <v>29</v>
      </c>
    </row>
    <row r="5" spans="2:22" ht="15.75" x14ac:dyDescent="0.25">
      <c r="B5" s="8"/>
      <c r="C5" s="8"/>
      <c r="D5" s="8"/>
      <c r="E5" s="8"/>
      <c r="F5" s="8"/>
      <c r="G5" s="8"/>
      <c r="L5" s="157" t="s">
        <v>83</v>
      </c>
      <c r="M5" s="126"/>
      <c r="N5" s="157" t="str">
        <f>LEFT($L$5,1)&amp;LEFT($B$2,1)&amp;[3]EB2!$C$20</f>
        <v>DAOT</v>
      </c>
      <c r="O5" s="157" t="str">
        <f>LEFT($D$2,6)&amp;" "&amp;$C$2&amp; " Sector - "&amp;[3]EB2!$X$20</f>
        <v>Demand Agriculture Sector - Demand</v>
      </c>
      <c r="P5" s="157" t="str">
        <f>$E$2</f>
        <v>PJ</v>
      </c>
      <c r="Q5" s="157"/>
      <c r="R5" s="157"/>
      <c r="S5" s="157"/>
      <c r="T5" s="157"/>
      <c r="U5" s="122"/>
      <c r="V5" s="122"/>
    </row>
    <row r="6" spans="2:22" x14ac:dyDescent="0.2">
      <c r="L6" s="126" t="s">
        <v>106</v>
      </c>
      <c r="M6" s="126"/>
      <c r="N6" s="126" t="str">
        <f>$B$2&amp;[3]EB2!$C$29</f>
        <v>AGRCO2</v>
      </c>
      <c r="O6" s="126" t="str">
        <f>$C$2&amp;" "&amp;[3]EB2!$C$30</f>
        <v>Agriculture Carbon dioxide</v>
      </c>
      <c r="P6" s="126" t="str">
        <f>[3]EB2!$AA$2</f>
        <v>kt</v>
      </c>
      <c r="Q6" s="126"/>
      <c r="R6" s="126"/>
      <c r="S6" s="126"/>
      <c r="T6" s="126"/>
      <c r="U6" s="122"/>
      <c r="V6" s="122"/>
    </row>
    <row r="7" spans="2:22" ht="15" x14ac:dyDescent="0.25">
      <c r="G7" s="163" t="s">
        <v>180</v>
      </c>
      <c r="U7" s="122"/>
      <c r="V7" s="122"/>
    </row>
    <row r="8" spans="2:22" ht="15" x14ac:dyDescent="0.25">
      <c r="D8" s="4" t="s">
        <v>13</v>
      </c>
      <c r="E8" s="4"/>
      <c r="G8" s="164">
        <v>0.2</v>
      </c>
      <c r="H8" s="4"/>
      <c r="I8" s="4"/>
      <c r="J8" s="13"/>
      <c r="L8" s="121" t="s">
        <v>15</v>
      </c>
      <c r="M8" s="121"/>
      <c r="N8" s="126"/>
      <c r="O8" s="126"/>
      <c r="P8" s="126"/>
      <c r="Q8" s="126"/>
      <c r="R8" s="126"/>
      <c r="S8" s="126"/>
      <c r="T8" s="126"/>
      <c r="U8" s="126"/>
      <c r="V8" s="126"/>
    </row>
    <row r="9" spans="2:22" ht="25.5" x14ac:dyDescent="0.2">
      <c r="B9" s="17" t="s">
        <v>1</v>
      </c>
      <c r="C9" s="17" t="s">
        <v>5</v>
      </c>
      <c r="D9" s="17" t="s">
        <v>6</v>
      </c>
      <c r="E9" s="69" t="s">
        <v>126</v>
      </c>
      <c r="F9" s="72" t="s">
        <v>146</v>
      </c>
      <c r="G9" s="72" t="s">
        <v>181</v>
      </c>
      <c r="H9" s="69" t="s">
        <v>84</v>
      </c>
      <c r="I9" s="69" t="s">
        <v>96</v>
      </c>
      <c r="J9" s="69" t="s">
        <v>79</v>
      </c>
      <c r="L9" s="123" t="s">
        <v>11</v>
      </c>
      <c r="M9" s="124" t="s">
        <v>30</v>
      </c>
      <c r="N9" s="123" t="s">
        <v>1</v>
      </c>
      <c r="O9" s="123" t="s">
        <v>2</v>
      </c>
      <c r="P9" s="123" t="s">
        <v>16</v>
      </c>
      <c r="Q9" s="123" t="s">
        <v>17</v>
      </c>
      <c r="R9" s="123" t="s">
        <v>18</v>
      </c>
      <c r="S9" s="123" t="s">
        <v>19</v>
      </c>
      <c r="T9" s="123" t="s">
        <v>20</v>
      </c>
    </row>
    <row r="10" spans="2:22" ht="113.25" thickBot="1" x14ac:dyDescent="0.25">
      <c r="B10" s="15" t="s">
        <v>39</v>
      </c>
      <c r="C10" s="15" t="s">
        <v>32</v>
      </c>
      <c r="D10" s="15" t="s">
        <v>33</v>
      </c>
      <c r="E10" s="15" t="s">
        <v>34</v>
      </c>
      <c r="F10" s="15" t="s">
        <v>145</v>
      </c>
      <c r="G10" s="15" t="s">
        <v>145</v>
      </c>
      <c r="H10" s="15" t="s">
        <v>89</v>
      </c>
      <c r="I10" s="81" t="s">
        <v>97</v>
      </c>
      <c r="J10" s="15" t="s">
        <v>182</v>
      </c>
      <c r="L10" s="125" t="s">
        <v>38</v>
      </c>
      <c r="M10" s="125" t="s">
        <v>31</v>
      </c>
      <c r="N10" s="125" t="s">
        <v>21</v>
      </c>
      <c r="O10" s="125" t="s">
        <v>22</v>
      </c>
      <c r="P10" s="125" t="s">
        <v>23</v>
      </c>
      <c r="Q10" s="125" t="s">
        <v>24</v>
      </c>
      <c r="R10" s="125" t="s">
        <v>43</v>
      </c>
      <c r="S10" s="125" t="s">
        <v>42</v>
      </c>
      <c r="T10" s="125" t="s">
        <v>25</v>
      </c>
      <c r="U10" s="126"/>
      <c r="V10" s="126"/>
    </row>
    <row r="11" spans="2:22" ht="13.5" thickBot="1" x14ac:dyDescent="0.25">
      <c r="B11" s="14" t="s">
        <v>90</v>
      </c>
      <c r="C11" s="14"/>
      <c r="D11" s="14"/>
      <c r="E11" s="12" t="s">
        <v>119</v>
      </c>
      <c r="F11" s="12"/>
      <c r="G11" s="12"/>
      <c r="H11" s="12"/>
      <c r="I11" s="71"/>
      <c r="J11" s="12" t="s">
        <v>91</v>
      </c>
      <c r="L11" s="125" t="s">
        <v>81</v>
      </c>
      <c r="M11" s="125"/>
      <c r="N11" s="125"/>
      <c r="O11" s="125"/>
      <c r="P11" s="125"/>
      <c r="Q11" s="125"/>
      <c r="R11" s="125"/>
      <c r="S11" s="125"/>
      <c r="T11" s="125"/>
      <c r="U11" s="123" t="s">
        <v>19</v>
      </c>
      <c r="V11" s="123" t="s">
        <v>20</v>
      </c>
    </row>
    <row r="12" spans="2:22" ht="23.25" thickBot="1" x14ac:dyDescent="0.25">
      <c r="B12" t="str">
        <f>N12</f>
        <v>AOTETOT</v>
      </c>
      <c r="C12" t="str">
        <f>[3]Sector_Fuels_AGR!L5</f>
        <v>AGRCOA</v>
      </c>
      <c r="D12" t="str">
        <f>$N$5</f>
        <v>DAOT</v>
      </c>
      <c r="E12" s="6"/>
      <c r="F12" s="165">
        <f>[3]EB2!$D$6/([3]EB2!$D$6+[3]EB2!$E$6+SUM([3]EB2!$G$6:$J$6,[3]EB2!$L$6:$M$6)+[3]EB2!$O$6+[3]EB2!$U$6)</f>
        <v>7.179568674540544E-3</v>
      </c>
      <c r="G12" s="166">
        <f>IF(F12=0,20%,F12*(1+$G$8))</f>
        <v>8.6154824094486528E-3</v>
      </c>
      <c r="H12" s="64">
        <v>1</v>
      </c>
      <c r="I12" s="64">
        <v>1</v>
      </c>
      <c r="J12" s="39">
        <v>20</v>
      </c>
      <c r="L12" s="157" t="s">
        <v>95</v>
      </c>
      <c r="M12" s="126"/>
      <c r="N12" s="126" t="str">
        <f>LEFT($B$2)&amp;[3]EB2!$C$20&amp;$J$2&amp;[3]EB2!$V$2</f>
        <v>AOTETOT</v>
      </c>
      <c r="O12" s="126" t="str">
        <f>$D$2&amp;" "&amp;$C$2&amp; " Sector - "&amp;""&amp;$J$1&amp;" "&amp;[3]EB2!$X$20&amp;" - "&amp;[3]EB2!$V$2</f>
        <v>Demand Technologies Agriculture Sector - Existing Demand - TOT</v>
      </c>
      <c r="P12" s="126" t="str">
        <f>$E$2</f>
        <v>PJ</v>
      </c>
      <c r="Q12" s="126" t="str">
        <f>$E$2&amp;"a"</f>
        <v>PJa</v>
      </c>
      <c r="R12" s="126"/>
      <c r="S12" s="126"/>
      <c r="T12" s="126"/>
      <c r="U12" s="125" t="s">
        <v>42</v>
      </c>
      <c r="V12" s="125" t="s">
        <v>25</v>
      </c>
    </row>
    <row r="13" spans="2:22" ht="13.5" thickBot="1" x14ac:dyDescent="0.25">
      <c r="C13" t="str">
        <f>[3]Sector_Fuels_AGR!L6</f>
        <v>AGRGAS</v>
      </c>
      <c r="E13" s="6"/>
      <c r="F13" s="165">
        <f>[3]EB2!$E$6/([3]EB2!$D$6+[3]EB2!$E$6+SUM([3]EB2!$G$6:$J$6,[3]EB2!$L$6:$M$6)+[3]EB2!$O$6+[3]EB2!$U$6)</f>
        <v>0.37874393628467257</v>
      </c>
      <c r="G13" s="166">
        <f>IF(F13=0,20%,F13*(1+$G$8))</f>
        <v>0.45449272354160708</v>
      </c>
      <c r="H13" s="16"/>
      <c r="I13" s="16"/>
      <c r="U13" s="125"/>
      <c r="V13" s="125"/>
    </row>
    <row r="14" spans="2:22" x14ac:dyDescent="0.2">
      <c r="C14" t="str">
        <f>[3]Sector_Fuels_AGR!L7</f>
        <v>AGROIL</v>
      </c>
      <c r="E14" s="6"/>
      <c r="F14" s="165">
        <f>SUM([3]EB2!$G$6:$J$6,[3]EB2!$L$6:$M$6)/([3]EB2!$D$6+[3]EB2!$E$6+SUM([3]EB2!$G$6:$J$6,[3]EB2!$L$6:$M$6)+[3]EB2!$O$6+[3]EB2!$U$6)</f>
        <v>0.15401636485812167</v>
      </c>
      <c r="G14" s="166">
        <f>IF(F14=0,20%,F14*(1+$G$8))</f>
        <v>0.184819637829746</v>
      </c>
      <c r="H14" s="16"/>
      <c r="I14" s="16"/>
      <c r="O14" s="19"/>
    </row>
    <row r="15" spans="2:22" x14ac:dyDescent="0.2">
      <c r="C15" t="str">
        <f>[3]Sector_Fuels_AGR!L8</f>
        <v>AGRBIO</v>
      </c>
      <c r="E15" s="6"/>
      <c r="F15" s="165">
        <f>[3]EB2!$O$6/([3]EB2!$D$6+[3]EB2!$E$6+SUM([3]EB2!$G$6:$J$6,[3]EB2!$L$6:$M$6)+[3]EB2!$O$6+[3]EB2!$U$6)</f>
        <v>4.6845795981693746E-3</v>
      </c>
      <c r="G15" s="166">
        <f>IF(F15=0,20%,F15*(1+$G$8))</f>
        <v>5.6214955178032497E-3</v>
      </c>
      <c r="H15" s="16"/>
      <c r="I15" s="16"/>
      <c r="O15" s="19"/>
      <c r="U15" s="126"/>
      <c r="V15" s="126"/>
    </row>
    <row r="16" spans="2:22" x14ac:dyDescent="0.2">
      <c r="C16" t="str">
        <f>[3]Sector_Fuels_AGR!L9</f>
        <v>AGRELC</v>
      </c>
      <c r="E16" s="6"/>
      <c r="F16" s="165">
        <f>[3]EB2!$U$6/([3]EB2!$D$6+[3]EB2!$E$6+SUM([3]EB2!$G$6:$J$6,[3]EB2!$L$6:$M$6)+[3]EB2!$O$6+[3]EB2!$U$6)</f>
        <v>0.45537555058449591</v>
      </c>
      <c r="G16" s="166">
        <f>IF(F16=0,20%,F16*(1+$G$8))</f>
        <v>0.54645066070139503</v>
      </c>
      <c r="H16" s="16"/>
      <c r="I16" s="16"/>
      <c r="O16" s="19"/>
    </row>
    <row r="17" spans="2:17" x14ac:dyDescent="0.2">
      <c r="J17" s="16"/>
      <c r="K17" s="16"/>
      <c r="Q17" s="19"/>
    </row>
    <row r="18" spans="2:17" x14ac:dyDescent="0.2">
      <c r="J18" s="16"/>
      <c r="K18" s="16"/>
      <c r="Q18" s="19"/>
    </row>
    <row r="19" spans="2:17" x14ac:dyDescent="0.2">
      <c r="F19" s="95"/>
      <c r="G19" s="95"/>
    </row>
    <row r="20" spans="2:17" x14ac:dyDescent="0.2">
      <c r="F20" s="110"/>
      <c r="G20" s="110"/>
    </row>
    <row r="23" spans="2:17" x14ac:dyDescent="0.2">
      <c r="H23" s="6"/>
      <c r="I23" s="6"/>
    </row>
    <row r="26" spans="2:17" x14ac:dyDescent="0.2">
      <c r="B26" s="39"/>
      <c r="C26" s="1" t="s">
        <v>149</v>
      </c>
    </row>
    <row r="27" spans="2:17" x14ac:dyDescent="0.2">
      <c r="B27" s="61"/>
      <c r="C27" s="1" t="s">
        <v>150</v>
      </c>
    </row>
    <row r="28" spans="2:17" x14ac:dyDescent="0.2">
      <c r="F28" s="11"/>
      <c r="G28" s="11"/>
      <c r="M28" s="1"/>
    </row>
    <row r="29" spans="2:17" x14ac:dyDescent="0.2">
      <c r="F29" s="11"/>
      <c r="G29" s="11"/>
      <c r="M29" s="1"/>
    </row>
    <row r="30" spans="2:17" x14ac:dyDescent="0.2">
      <c r="F30" s="11"/>
      <c r="G30" s="11"/>
      <c r="M30" s="1"/>
    </row>
    <row r="31" spans="2:17" x14ac:dyDescent="0.2">
      <c r="M31" s="1"/>
    </row>
  </sheetData>
  <phoneticPr fontId="29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topLeftCell="A10" zoomScaleNormal="100" workbookViewId="0">
      <selection activeCell="F26" sqref="F26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75" x14ac:dyDescent="0.25">
      <c r="B2" s="9" t="str">
        <f>'EB1'!B6</f>
        <v>COM</v>
      </c>
      <c r="C2" s="9" t="str">
        <f>'EB1'!C6</f>
        <v>Commercial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1" t="s">
        <v>14</v>
      </c>
      <c r="K2" s="121"/>
      <c r="L2" s="122"/>
      <c r="M2" s="122"/>
      <c r="N2" s="122"/>
      <c r="O2" s="122"/>
      <c r="P2" s="122"/>
      <c r="Q2" s="122"/>
      <c r="R2" s="122"/>
    </row>
    <row r="3" spans="2:18" x14ac:dyDescent="0.2">
      <c r="J3" s="123" t="s">
        <v>7</v>
      </c>
      <c r="K3" s="124" t="s">
        <v>30</v>
      </c>
      <c r="L3" s="123" t="s">
        <v>0</v>
      </c>
      <c r="M3" s="123" t="s">
        <v>3</v>
      </c>
      <c r="N3" s="123" t="s">
        <v>4</v>
      </c>
      <c r="O3" s="123" t="s">
        <v>8</v>
      </c>
      <c r="P3" s="123" t="s">
        <v>9</v>
      </c>
      <c r="Q3" s="123" t="s">
        <v>10</v>
      </c>
      <c r="R3" s="123" t="s">
        <v>12</v>
      </c>
    </row>
    <row r="4" spans="2:18" ht="24" thickBot="1" x14ac:dyDescent="0.3">
      <c r="B4" s="8"/>
      <c r="C4" s="8"/>
      <c r="D4" s="8"/>
      <c r="E4" s="8"/>
      <c r="G4" s="8"/>
      <c r="J4" s="125" t="s">
        <v>37</v>
      </c>
      <c r="K4" s="125" t="s">
        <v>31</v>
      </c>
      <c r="L4" s="125" t="s">
        <v>26</v>
      </c>
      <c r="M4" s="125" t="s">
        <v>27</v>
      </c>
      <c r="N4" s="125" t="s">
        <v>4</v>
      </c>
      <c r="O4" s="125" t="s">
        <v>40</v>
      </c>
      <c r="P4" s="125" t="s">
        <v>41</v>
      </c>
      <c r="Q4" s="125" t="s">
        <v>28</v>
      </c>
      <c r="R4" s="125" t="s">
        <v>29</v>
      </c>
    </row>
    <row r="5" spans="2:18" x14ac:dyDescent="0.2">
      <c r="E5" s="11"/>
      <c r="F5" s="11"/>
      <c r="G5" s="66"/>
      <c r="H5" s="10"/>
      <c r="J5" s="126" t="s">
        <v>72</v>
      </c>
      <c r="K5" s="126"/>
      <c r="L5" s="126" t="str">
        <f>$B$2&amp;'EB1'!$D$2</f>
        <v>COMCOA</v>
      </c>
      <c r="M5" s="127" t="str">
        <f>$C$2&amp;" "&amp;'EB1'!$D$3</f>
        <v>Commercial Solid Fuels</v>
      </c>
      <c r="N5" s="126" t="str">
        <f t="shared" ref="N5:N10" si="0">$E$2</f>
        <v>PJ</v>
      </c>
      <c r="O5" s="126"/>
      <c r="P5" s="126"/>
      <c r="Q5" s="126"/>
      <c r="R5" s="126"/>
    </row>
    <row r="6" spans="2:18" x14ac:dyDescent="0.2">
      <c r="E6" s="11"/>
      <c r="F6" s="11"/>
      <c r="G6" s="66"/>
      <c r="H6" s="10"/>
      <c r="J6" s="126"/>
      <c r="K6" s="126"/>
      <c r="L6" s="126" t="str">
        <f>$B$2&amp;'EB1'!$E$2</f>
        <v>COMGAS</v>
      </c>
      <c r="M6" s="127" t="str">
        <f>$C$2&amp;" "&amp;'EB1'!$E$3</f>
        <v>Commercial Natural Gas</v>
      </c>
      <c r="N6" s="126" t="str">
        <f t="shared" si="0"/>
        <v>PJ</v>
      </c>
      <c r="O6" s="126"/>
      <c r="P6" s="126"/>
      <c r="Q6" s="126"/>
      <c r="R6" s="126"/>
    </row>
    <row r="7" spans="2:18" x14ac:dyDescent="0.2">
      <c r="E7" s="11"/>
      <c r="F7" s="11"/>
      <c r="G7" s="66"/>
      <c r="H7" s="10"/>
      <c r="J7" s="126"/>
      <c r="K7" s="126"/>
      <c r="L7" s="126" t="str">
        <f>$B$2&amp;'EB1'!$F$2</f>
        <v>COMOIL</v>
      </c>
      <c r="M7" s="127" t="str">
        <f>$C$2&amp;" "&amp;RIGHT('EB1'!$F$3,3)</f>
        <v>Commercial Oil</v>
      </c>
      <c r="N7" s="126" t="str">
        <f t="shared" si="0"/>
        <v>PJ</v>
      </c>
      <c r="O7" s="126"/>
      <c r="P7" s="126"/>
      <c r="Q7" s="126"/>
      <c r="R7" s="126"/>
    </row>
    <row r="8" spans="2:18" x14ac:dyDescent="0.2">
      <c r="E8" s="11"/>
      <c r="F8" s="11"/>
      <c r="G8" s="66"/>
      <c r="H8" s="10"/>
      <c r="J8" s="126"/>
      <c r="K8" s="126"/>
      <c r="L8" s="126" t="str">
        <f>$B$2&amp;'EB1'!$O$2</f>
        <v>COMBIO</v>
      </c>
      <c r="M8" s="127" t="str">
        <f>$C$2&amp;" "&amp;'EB1'!$O$3</f>
        <v>Commercial Biomass</v>
      </c>
      <c r="N8" s="126" t="str">
        <f t="shared" si="0"/>
        <v>PJ</v>
      </c>
      <c r="O8" s="126"/>
      <c r="P8" s="126"/>
      <c r="Q8" s="126"/>
      <c r="R8" s="126"/>
    </row>
    <row r="9" spans="2:18" x14ac:dyDescent="0.2">
      <c r="E9" s="11"/>
      <c r="F9" s="11"/>
      <c r="G9" s="66"/>
      <c r="H9" s="10"/>
      <c r="J9" s="126"/>
      <c r="K9" s="126"/>
      <c r="L9" s="126" t="str">
        <f>$B$2&amp;'EB1'!$R$2</f>
        <v>COMSOL</v>
      </c>
      <c r="M9" s="127" t="str">
        <f>$C$2&amp;" "&amp;'EB1'!$R$3</f>
        <v>Commercial Solar energy</v>
      </c>
      <c r="N9" s="126" t="str">
        <f t="shared" si="0"/>
        <v>PJ</v>
      </c>
      <c r="O9" s="126"/>
      <c r="P9" s="126"/>
      <c r="Q9" s="126"/>
      <c r="R9" s="126"/>
    </row>
    <row r="10" spans="2:18" x14ac:dyDescent="0.2">
      <c r="E10" s="11"/>
      <c r="F10" s="11"/>
      <c r="G10" s="66"/>
      <c r="H10" s="10"/>
      <c r="J10" s="126"/>
      <c r="K10" s="126"/>
      <c r="L10" s="126" t="str">
        <f>$B$2&amp;'EB1'!$U$2</f>
        <v>COMELC</v>
      </c>
      <c r="M10" s="127" t="str">
        <f>$C$2&amp;" "&amp;'EB1'!$U$3</f>
        <v>Commercial Electricity</v>
      </c>
      <c r="N10" s="126" t="str">
        <f t="shared" si="0"/>
        <v>PJ</v>
      </c>
      <c r="O10" s="126"/>
      <c r="P10" s="126" t="s">
        <v>124</v>
      </c>
      <c r="Q10" s="126"/>
      <c r="R10" s="126" t="s">
        <v>50</v>
      </c>
    </row>
    <row r="11" spans="2:18" x14ac:dyDescent="0.2">
      <c r="L11" s="23"/>
      <c r="M11" s="24"/>
    </row>
    <row r="12" spans="2:18" x14ac:dyDescent="0.2">
      <c r="D12" s="4" t="s">
        <v>13</v>
      </c>
      <c r="E12" s="4"/>
      <c r="F12" s="4"/>
      <c r="J12" s="121" t="s">
        <v>15</v>
      </c>
      <c r="K12" s="121"/>
      <c r="L12" s="126"/>
      <c r="M12" s="126"/>
      <c r="N12" s="126"/>
      <c r="O12" s="126"/>
      <c r="P12" s="126"/>
      <c r="Q12" s="126"/>
      <c r="R12" s="126"/>
    </row>
    <row r="13" spans="2:18" x14ac:dyDescent="0.2">
      <c r="B13" s="17" t="s">
        <v>1</v>
      </c>
      <c r="C13" s="17" t="s">
        <v>5</v>
      </c>
      <c r="D13" s="17" t="s">
        <v>6</v>
      </c>
      <c r="E13" s="72" t="s">
        <v>146</v>
      </c>
      <c r="F13" s="69" t="s">
        <v>126</v>
      </c>
      <c r="G13" s="69" t="s">
        <v>84</v>
      </c>
      <c r="H13" s="69" t="s">
        <v>79</v>
      </c>
      <c r="J13" s="123" t="s">
        <v>11</v>
      </c>
      <c r="K13" s="124" t="s">
        <v>30</v>
      </c>
      <c r="L13" s="123" t="s">
        <v>1</v>
      </c>
      <c r="M13" s="123" t="s">
        <v>2</v>
      </c>
      <c r="N13" s="123" t="s">
        <v>16</v>
      </c>
      <c r="O13" s="123" t="s">
        <v>17</v>
      </c>
      <c r="P13" s="123" t="s">
        <v>18</v>
      </c>
      <c r="Q13" s="123" t="s">
        <v>19</v>
      </c>
      <c r="R13" s="123" t="s">
        <v>20</v>
      </c>
    </row>
    <row r="14" spans="2:18" ht="23.25" thickBot="1" x14ac:dyDescent="0.25">
      <c r="B14" s="15" t="s">
        <v>39</v>
      </c>
      <c r="C14" s="15" t="s">
        <v>32</v>
      </c>
      <c r="D14" s="15" t="s">
        <v>33</v>
      </c>
      <c r="E14" s="15" t="s">
        <v>145</v>
      </c>
      <c r="F14" s="15" t="s">
        <v>34</v>
      </c>
      <c r="G14" s="15" t="s">
        <v>89</v>
      </c>
      <c r="H14" s="15" t="s">
        <v>168</v>
      </c>
      <c r="J14" s="125" t="s">
        <v>38</v>
      </c>
      <c r="K14" s="125" t="s">
        <v>31</v>
      </c>
      <c r="L14" s="125" t="s">
        <v>21</v>
      </c>
      <c r="M14" s="125" t="s">
        <v>22</v>
      </c>
      <c r="N14" s="125" t="s">
        <v>23</v>
      </c>
      <c r="O14" s="125" t="s">
        <v>24</v>
      </c>
      <c r="P14" s="125" t="s">
        <v>43</v>
      </c>
      <c r="Q14" s="125" t="s">
        <v>42</v>
      </c>
      <c r="R14" s="125" t="s">
        <v>25</v>
      </c>
    </row>
    <row r="15" spans="2:18" ht="13.5" thickBot="1" x14ac:dyDescent="0.2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25" t="s">
        <v>81</v>
      </c>
      <c r="K15" s="128"/>
      <c r="L15" s="128"/>
      <c r="M15" s="128"/>
      <c r="N15" s="128"/>
      <c r="O15" s="128"/>
      <c r="P15" s="128"/>
      <c r="Q15" s="128"/>
      <c r="R15" s="128"/>
    </row>
    <row r="16" spans="2:18" x14ac:dyDescent="0.2">
      <c r="B16" t="str">
        <f>L16</f>
        <v>FTE-COMCOA</v>
      </c>
      <c r="C16" t="str">
        <f>RIGHT(D16,3)</f>
        <v>COA</v>
      </c>
      <c r="D16" t="str">
        <f>L5</f>
        <v>COMCOA</v>
      </c>
      <c r="E16" s="11"/>
      <c r="F16" s="11"/>
      <c r="G16" s="62">
        <v>1</v>
      </c>
      <c r="H16" s="63">
        <v>30</v>
      </c>
      <c r="J16" s="122" t="s">
        <v>113</v>
      </c>
      <c r="K16" s="126"/>
      <c r="L16" s="126" t="str">
        <f t="shared" ref="L16:L21" si="1">"FT"&amp;$G$2&amp;"-"&amp;L5</f>
        <v>FTE-COMCOA</v>
      </c>
      <c r="M16" s="127" t="str">
        <f t="shared" ref="M16:M21" si="2">$D$2&amp;" Technology"&amp;" "&amp;$G$1&amp;" "&amp;M5</f>
        <v>Sector Fuel Technology Existing Commercial Solid Fuels</v>
      </c>
      <c r="N16" s="126" t="str">
        <f t="shared" ref="N16:N21" si="3">$E$2</f>
        <v>PJ</v>
      </c>
      <c r="O16" s="126" t="str">
        <f t="shared" ref="O16:O21" si="4">$E$2&amp;"a"</f>
        <v>PJa</v>
      </c>
      <c r="P16" s="126"/>
      <c r="Q16" s="126"/>
      <c r="R16" s="126"/>
    </row>
    <row r="17" spans="2:18" x14ac:dyDescent="0.2">
      <c r="B17" t="str">
        <f>L17</f>
        <v>FTE-COMGAS</v>
      </c>
      <c r="C17" t="str">
        <f>RIGHT(D17,3)</f>
        <v>GAS</v>
      </c>
      <c r="D17" t="str">
        <f>L6</f>
        <v>COMGAS</v>
      </c>
      <c r="E17" s="11"/>
      <c r="F17" s="11"/>
      <c r="G17" s="62">
        <v>1</v>
      </c>
      <c r="H17" s="63">
        <v>30</v>
      </c>
      <c r="J17" s="126"/>
      <c r="K17" s="126"/>
      <c r="L17" s="126" t="str">
        <f t="shared" si="1"/>
        <v>FTE-COMGAS</v>
      </c>
      <c r="M17" s="127" t="str">
        <f t="shared" si="2"/>
        <v>Sector Fuel Technology Existing Commercial Natural Gas</v>
      </c>
      <c r="N17" s="126" t="str">
        <f t="shared" si="3"/>
        <v>PJ</v>
      </c>
      <c r="O17" s="126" t="str">
        <f t="shared" si="4"/>
        <v>PJa</v>
      </c>
      <c r="P17" s="126"/>
      <c r="Q17" s="126"/>
      <c r="R17" s="126"/>
    </row>
    <row r="18" spans="2:18" x14ac:dyDescent="0.2">
      <c r="B18" t="str">
        <f>L18</f>
        <v>FTE-COMOIL</v>
      </c>
      <c r="C18" t="str">
        <f>'EB1'!$G$2</f>
        <v>DSL</v>
      </c>
      <c r="D18" t="str">
        <f>L7</f>
        <v>COMOIL</v>
      </c>
      <c r="E18" s="115">
        <f>'EB1'!$G$6/SUM('EB1'!$G$6:$J$6,'EB1'!$L$6:$M$6)</f>
        <v>0</v>
      </c>
      <c r="F18" s="11"/>
      <c r="G18" s="62">
        <v>1</v>
      </c>
      <c r="H18" s="63">
        <v>30</v>
      </c>
      <c r="J18" s="126"/>
      <c r="K18" s="126"/>
      <c r="L18" s="126" t="str">
        <f t="shared" si="1"/>
        <v>FTE-COMOIL</v>
      </c>
      <c r="M18" s="127" t="str">
        <f t="shared" si="2"/>
        <v>Sector Fuel Technology Existing Commercial Oil</v>
      </c>
      <c r="N18" s="126" t="str">
        <f t="shared" si="3"/>
        <v>PJ</v>
      </c>
      <c r="O18" s="126" t="str">
        <f t="shared" si="4"/>
        <v>PJa</v>
      </c>
      <c r="P18" s="126"/>
      <c r="Q18" s="126"/>
      <c r="R18" s="126"/>
    </row>
    <row r="19" spans="2:18" x14ac:dyDescent="0.2">
      <c r="C19" t="str">
        <f>'EB1'!$H$2</f>
        <v>KER</v>
      </c>
      <c r="E19" s="115">
        <f>'EB1'!$H$6/SUM('EB1'!$G$6:$J$6,'EB1'!$L$6:$M$6)</f>
        <v>0</v>
      </c>
      <c r="F19" s="11"/>
      <c r="G19" s="66"/>
      <c r="H19" s="10"/>
      <c r="J19" s="126"/>
      <c r="K19" s="126"/>
      <c r="L19" s="126" t="str">
        <f t="shared" si="1"/>
        <v>FTE-COMBIO</v>
      </c>
      <c r="M19" s="127" t="str">
        <f t="shared" si="2"/>
        <v>Sector Fuel Technology Existing Commercial Biomass</v>
      </c>
      <c r="N19" s="126" t="str">
        <f t="shared" si="3"/>
        <v>PJ</v>
      </c>
      <c r="O19" s="126" t="str">
        <f t="shared" si="4"/>
        <v>PJa</v>
      </c>
      <c r="P19" s="126"/>
      <c r="Q19" s="126"/>
      <c r="R19" s="126"/>
    </row>
    <row r="20" spans="2:18" x14ac:dyDescent="0.2">
      <c r="C20" t="str">
        <f>'EB1'!$I$2</f>
        <v>LPG</v>
      </c>
      <c r="E20" s="115">
        <f>'EB1'!$I$6/SUM('EB1'!$G$6:$J$6,'EB1'!$L$6:$M$6)</f>
        <v>0.99623299399146981</v>
      </c>
      <c r="F20" s="11"/>
      <c r="G20" s="66"/>
      <c r="H20" s="10"/>
      <c r="J20" s="126"/>
      <c r="K20" s="126"/>
      <c r="L20" s="126" t="str">
        <f t="shared" si="1"/>
        <v>FTE-COMSOL</v>
      </c>
      <c r="M20" s="127" t="str">
        <f t="shared" si="2"/>
        <v>Sector Fuel Technology Existing Commercial Solar energy</v>
      </c>
      <c r="N20" s="126" t="str">
        <f t="shared" si="3"/>
        <v>PJ</v>
      </c>
      <c r="O20" s="126" t="str">
        <f t="shared" si="4"/>
        <v>PJa</v>
      </c>
      <c r="P20" s="126"/>
      <c r="Q20" s="126"/>
      <c r="R20" s="126"/>
    </row>
    <row r="21" spans="2:18" x14ac:dyDescent="0.2">
      <c r="C21" t="str">
        <f>'EB1'!$J$2</f>
        <v>GSL</v>
      </c>
      <c r="E21" s="115">
        <f>'EB1'!$J$6/SUM('EB1'!$G$6:$J$6,'EB1'!$L$6:$M$6)</f>
        <v>0</v>
      </c>
      <c r="F21" s="11"/>
      <c r="G21" s="66"/>
      <c r="H21" s="10"/>
      <c r="J21" s="126"/>
      <c r="K21" s="126"/>
      <c r="L21" s="126" t="str">
        <f t="shared" si="1"/>
        <v>FTE-COMELC</v>
      </c>
      <c r="M21" s="127" t="str">
        <f t="shared" si="2"/>
        <v>Sector Fuel Technology Existing Commercial Electricity</v>
      </c>
      <c r="N21" s="126" t="str">
        <f t="shared" si="3"/>
        <v>PJ</v>
      </c>
      <c r="O21" s="126" t="str">
        <f t="shared" si="4"/>
        <v>PJa</v>
      </c>
      <c r="P21" s="126" t="s">
        <v>124</v>
      </c>
      <c r="Q21" s="126"/>
      <c r="R21" s="126"/>
    </row>
    <row r="22" spans="2:18" x14ac:dyDescent="0.2">
      <c r="C22" t="str">
        <f>'EB1'!$L$2</f>
        <v>HFO</v>
      </c>
      <c r="E22" s="115">
        <f>'EB1'!$L$6/SUM('EB1'!$G$6:$J$6,'EB1'!$L$6:$M$6)</f>
        <v>0</v>
      </c>
      <c r="F22" s="11"/>
      <c r="G22" s="66"/>
      <c r="H22" s="10"/>
      <c r="M22" s="19"/>
    </row>
    <row r="23" spans="2:18" x14ac:dyDescent="0.2">
      <c r="C23" t="str">
        <f>'EB1'!$M$2</f>
        <v>OPP</v>
      </c>
      <c r="E23" s="115">
        <f>'EB1'!$M$6/SUM('EB1'!$G$6:$J$6,'EB1'!$L$6:$M$6)</f>
        <v>3.7670060085302453E-3</v>
      </c>
      <c r="F23" s="11"/>
      <c r="G23" s="66"/>
      <c r="H23" s="10"/>
      <c r="M23" s="19"/>
    </row>
    <row r="24" spans="2:18" x14ac:dyDescent="0.2">
      <c r="B24" t="str">
        <f>L19</f>
        <v>FTE-COMBIO</v>
      </c>
      <c r="C24" t="str">
        <f>RIGHT(D24,3)</f>
        <v>BIO</v>
      </c>
      <c r="D24" t="str">
        <f>L8</f>
        <v>COMBIO</v>
      </c>
      <c r="E24" s="11"/>
      <c r="F24" s="11"/>
      <c r="G24" s="62">
        <v>1</v>
      </c>
      <c r="H24" s="63">
        <v>30</v>
      </c>
      <c r="J24" s="23"/>
      <c r="K24" s="23"/>
      <c r="M24" s="19"/>
    </row>
    <row r="25" spans="2:18" x14ac:dyDescent="0.2">
      <c r="B25" t="str">
        <f>L20</f>
        <v>FTE-COMSOL</v>
      </c>
      <c r="C25" t="str">
        <f>RIGHT(D25,3)</f>
        <v>SOL</v>
      </c>
      <c r="D25" t="str">
        <f>L9</f>
        <v>COMSOL</v>
      </c>
      <c r="E25" s="11"/>
      <c r="F25" s="11"/>
      <c r="G25" s="62">
        <v>1</v>
      </c>
      <c r="H25" s="63">
        <v>30</v>
      </c>
      <c r="J25" s="23"/>
      <c r="K25" s="23"/>
      <c r="M25" s="19"/>
    </row>
    <row r="26" spans="2:18" x14ac:dyDescent="0.2">
      <c r="B26" s="5" t="str">
        <f>L21</f>
        <v>FTE-COMELC</v>
      </c>
      <c r="C26" s="5" t="str">
        <f>RIGHT(D26,3)</f>
        <v>ELC</v>
      </c>
      <c r="D26" s="5" t="str">
        <f>L10</f>
        <v>COMELC</v>
      </c>
      <c r="E26" s="116"/>
      <c r="F26" s="116">
        <v>99999</v>
      </c>
      <c r="G26" s="117">
        <v>1</v>
      </c>
      <c r="H26" s="118">
        <v>30</v>
      </c>
      <c r="J26" s="23"/>
      <c r="K26" s="23"/>
      <c r="M26" s="19"/>
    </row>
    <row r="27" spans="2:18" x14ac:dyDescent="0.2">
      <c r="E27" s="11"/>
      <c r="F27" s="11"/>
      <c r="G27" s="66"/>
      <c r="H27" s="10"/>
      <c r="J27" s="23"/>
      <c r="K27" s="23"/>
      <c r="M27" s="19"/>
    </row>
    <row r="28" spans="2:18" x14ac:dyDescent="0.2">
      <c r="E28" s="11"/>
      <c r="F28" s="11"/>
      <c r="G28" s="66"/>
      <c r="H28" s="10"/>
      <c r="M28" s="19"/>
    </row>
    <row r="29" spans="2:18" x14ac:dyDescent="0.2">
      <c r="E29" s="11"/>
      <c r="F29" s="11"/>
      <c r="G29" s="66"/>
      <c r="H29" s="10"/>
    </row>
    <row r="30" spans="2:18" x14ac:dyDescent="0.2">
      <c r="B30" s="23"/>
      <c r="D30" s="23"/>
      <c r="E30" s="11"/>
      <c r="F30" s="11"/>
      <c r="G30" s="66"/>
      <c r="H30" s="10"/>
    </row>
    <row r="31" spans="2:18" x14ac:dyDescent="0.2">
      <c r="B31" s="23"/>
      <c r="D31" s="23"/>
      <c r="E31" s="11"/>
      <c r="F31" s="11"/>
      <c r="G31" s="66"/>
      <c r="H31" s="10"/>
    </row>
    <row r="32" spans="2:18" x14ac:dyDescent="0.2">
      <c r="B32" s="23"/>
      <c r="D32" s="23"/>
      <c r="E32" s="95"/>
      <c r="F32" s="11"/>
      <c r="G32" s="66"/>
      <c r="H32" s="10"/>
    </row>
    <row r="33" spans="2:8" x14ac:dyDescent="0.2">
      <c r="B33" s="23"/>
      <c r="D33" s="23"/>
      <c r="E33" s="95"/>
      <c r="F33" s="11"/>
      <c r="G33" s="66"/>
      <c r="H33" s="10"/>
    </row>
    <row r="34" spans="2:8" x14ac:dyDescent="0.2">
      <c r="B34" s="23"/>
      <c r="D34" s="23"/>
      <c r="E34" s="95"/>
      <c r="F34" s="11"/>
      <c r="G34" s="66"/>
      <c r="H34" s="10"/>
    </row>
    <row r="35" spans="2:8" x14ac:dyDescent="0.2">
      <c r="B35" s="23"/>
      <c r="D35" s="23"/>
      <c r="E35" s="95"/>
      <c r="F35" s="11"/>
      <c r="G35" s="66"/>
      <c r="H35" s="10"/>
    </row>
    <row r="36" spans="2:8" x14ac:dyDescent="0.2">
      <c r="B36" s="23"/>
      <c r="D36" s="23"/>
      <c r="E36" s="11"/>
      <c r="F36" s="11"/>
      <c r="G36" s="66"/>
      <c r="H36" s="10"/>
    </row>
    <row r="37" spans="2:8" x14ac:dyDescent="0.2">
      <c r="B37" s="23"/>
      <c r="D37" s="23"/>
      <c r="E37" s="11"/>
      <c r="F37" s="11"/>
      <c r="G37" s="66"/>
      <c r="H37" s="10"/>
    </row>
    <row r="41" spans="2:8" x14ac:dyDescent="0.2">
      <c r="B41" s="39"/>
      <c r="C41" s="1" t="s">
        <v>149</v>
      </c>
    </row>
    <row r="42" spans="2:8" x14ac:dyDescent="0.2">
      <c r="B42" s="61"/>
      <c r="C42" s="1" t="s">
        <v>150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35"/>
  <sheetViews>
    <sheetView topLeftCell="E1" zoomScale="70" zoomScaleNormal="70" workbookViewId="0">
      <selection activeCell="S19" sqref="S19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3.140625" bestFit="1" customWidth="1"/>
    <col min="8" max="8" width="14.42578125" bestFit="1" customWidth="1"/>
    <col min="9" max="9" width="8.140625" customWidth="1"/>
    <col min="10" max="10" width="2" customWidth="1"/>
    <col min="11" max="11" width="11.5703125" customWidth="1"/>
    <col min="12" max="12" width="2" bestFit="1" customWidth="1"/>
    <col min="13" max="13" width="12.7109375" bestFit="1" customWidth="1"/>
    <col min="14" max="14" width="7.140625" customWidth="1"/>
    <col min="15" max="15" width="16.140625" bestFit="1" customWidth="1"/>
    <col min="16" max="16" width="77.5703125" bestFit="1" customWidth="1"/>
    <col min="17" max="17" width="5.7109375" customWidth="1"/>
    <col min="18" max="18" width="11.7109375" customWidth="1"/>
    <col min="19" max="19" width="13.42578125" customWidth="1"/>
    <col min="20" max="20" width="13.85546875" customWidth="1"/>
    <col min="21" max="21" width="8.42578125" customWidth="1"/>
  </cols>
  <sheetData>
    <row r="1" spans="2:21" ht="30" x14ac:dyDescent="0.25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47.25" x14ac:dyDescent="0.25">
      <c r="B2" s="9" t="str">
        <f>'EB1'!B6</f>
        <v>COM</v>
      </c>
      <c r="C2" s="9" t="str">
        <f>'EB1'!C6</f>
        <v>Commercial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1" t="s">
        <v>14</v>
      </c>
      <c r="N2" s="121"/>
      <c r="O2" s="122"/>
      <c r="P2" s="122"/>
      <c r="Q2" s="122"/>
      <c r="R2" s="122"/>
      <c r="S2" s="122"/>
      <c r="T2" s="122"/>
      <c r="U2" s="122"/>
    </row>
    <row r="3" spans="2:21" x14ac:dyDescent="0.2">
      <c r="M3" s="123" t="s">
        <v>7</v>
      </c>
      <c r="N3" s="124" t="s">
        <v>30</v>
      </c>
      <c r="O3" s="123" t="s">
        <v>0</v>
      </c>
      <c r="P3" s="123" t="s">
        <v>3</v>
      </c>
      <c r="Q3" s="123" t="s">
        <v>4</v>
      </c>
      <c r="R3" s="123" t="s">
        <v>8</v>
      </c>
      <c r="S3" s="123" t="s">
        <v>9</v>
      </c>
      <c r="T3" s="123" t="s">
        <v>10</v>
      </c>
      <c r="U3" s="123" t="s">
        <v>12</v>
      </c>
    </row>
    <row r="4" spans="2:21" ht="24" thickBot="1" x14ac:dyDescent="0.3">
      <c r="B4" s="8"/>
      <c r="C4" s="8"/>
      <c r="D4" s="8"/>
      <c r="E4" s="8"/>
      <c r="F4" s="8"/>
      <c r="M4" s="125" t="s">
        <v>37</v>
      </c>
      <c r="N4" s="125" t="s">
        <v>31</v>
      </c>
      <c r="O4" s="125" t="s">
        <v>26</v>
      </c>
      <c r="P4" s="125" t="s">
        <v>27</v>
      </c>
      <c r="Q4" s="125" t="s">
        <v>4</v>
      </c>
      <c r="R4" s="125" t="s">
        <v>40</v>
      </c>
      <c r="S4" s="125" t="s">
        <v>41</v>
      </c>
      <c r="T4" s="125" t="s">
        <v>28</v>
      </c>
      <c r="U4" s="125" t="s">
        <v>29</v>
      </c>
    </row>
    <row r="5" spans="2:21" ht="15.75" x14ac:dyDescent="0.25">
      <c r="B5" s="8"/>
      <c r="C5" s="8"/>
      <c r="D5" s="8"/>
      <c r="E5" s="8"/>
      <c r="F5" s="8"/>
      <c r="M5" s="122" t="s">
        <v>83</v>
      </c>
      <c r="N5" s="126"/>
      <c r="O5" s="122" t="str">
        <f>LEFT($M$5,1)&amp;LEFT($B$2,1)&amp;'EB1'!$C$24</f>
        <v>DCSC</v>
      </c>
      <c r="P5" s="122" t="str">
        <f>LEFT($D$2,6)&amp;" "&amp;$C$2&amp; " Sector - "&amp;'EB1'!$X$24</f>
        <v>Demand Commercial Sector - Space Cooling</v>
      </c>
      <c r="Q5" s="122" t="str">
        <f>$E$2</f>
        <v>PJ</v>
      </c>
      <c r="R5" s="122"/>
      <c r="S5" s="122"/>
      <c r="T5" s="122"/>
      <c r="U5" s="122"/>
    </row>
    <row r="6" spans="2:21" ht="15.75" x14ac:dyDescent="0.25">
      <c r="B6" s="8"/>
      <c r="C6" s="8"/>
      <c r="D6" s="8"/>
      <c r="E6" s="8"/>
      <c r="F6" s="8"/>
      <c r="M6" s="122"/>
      <c r="N6" s="126"/>
      <c r="O6" s="122" t="str">
        <f>LEFT($M$5,1)&amp;LEFT($B$2,1)&amp;'EB1'!$C$25</f>
        <v>DCAP</v>
      </c>
      <c r="P6" s="122" t="str">
        <f>LEFT($D$2,6)&amp;" "&amp;$C$2&amp; " Sector - "&amp;'EB1'!$X$25</f>
        <v>Demand Commercial Sector - Appliancens</v>
      </c>
      <c r="Q6" s="122" t="str">
        <f>$E$2</f>
        <v>PJ</v>
      </c>
      <c r="R6" s="122"/>
      <c r="S6" s="122"/>
      <c r="T6" s="122"/>
      <c r="U6" s="122"/>
    </row>
    <row r="7" spans="2:21" ht="15.75" x14ac:dyDescent="0.25">
      <c r="B7" s="8"/>
      <c r="C7" s="8"/>
      <c r="D7" s="8"/>
      <c r="E7" s="8"/>
      <c r="F7" s="8"/>
      <c r="M7" s="122"/>
      <c r="N7" s="126"/>
      <c r="O7" s="122" t="str">
        <f>LEFT($M$5,1)&amp;LEFT($B$2,1)&amp;'EB1'!$C$26</f>
        <v>DCOT</v>
      </c>
      <c r="P7" s="122" t="str">
        <f>LEFT($D$2,6)&amp;" "&amp;$C$2&amp; " Sector - "&amp;'EB1'!$X$26</f>
        <v>Demand Commercial Sector - Other</v>
      </c>
      <c r="Q7" s="122" t="str">
        <f>$E$2</f>
        <v>PJ</v>
      </c>
      <c r="R7" s="122"/>
      <c r="S7" s="122"/>
      <c r="T7" s="122"/>
      <c r="U7" s="122"/>
    </row>
    <row r="8" spans="2:21" x14ac:dyDescent="0.2">
      <c r="M8" s="126" t="s">
        <v>106</v>
      </c>
      <c r="N8" s="126"/>
      <c r="O8" s="126" t="str">
        <f>$B$2&amp;'EB1'!$C$29</f>
        <v>COMCO2</v>
      </c>
      <c r="P8" s="126" t="str">
        <f>$C$2&amp;" "&amp;'EB1'!$C$30</f>
        <v>Commercial Carbon dioxide</v>
      </c>
      <c r="Q8" s="126" t="str">
        <f>'EB1'!$AA$2</f>
        <v>kt</v>
      </c>
      <c r="R8" s="126"/>
      <c r="S8" s="126"/>
      <c r="T8" s="126"/>
      <c r="U8" s="126"/>
    </row>
    <row r="10" spans="2:21" x14ac:dyDescent="0.2">
      <c r="D10" s="4" t="s">
        <v>13</v>
      </c>
      <c r="E10" s="4"/>
      <c r="G10" s="4"/>
      <c r="H10" s="4"/>
      <c r="I10" s="13"/>
      <c r="M10" s="121" t="s">
        <v>15</v>
      </c>
      <c r="N10" s="121"/>
      <c r="O10" s="126"/>
      <c r="P10" s="126"/>
      <c r="Q10" s="126"/>
      <c r="R10" s="126"/>
      <c r="S10" s="126"/>
      <c r="T10" s="126"/>
      <c r="U10" s="126"/>
    </row>
    <row r="11" spans="2:21" x14ac:dyDescent="0.2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169</v>
      </c>
      <c r="I11" s="69" t="s">
        <v>79</v>
      </c>
      <c r="K11" s="94" t="s">
        <v>35</v>
      </c>
      <c r="L11" s="101"/>
      <c r="M11" s="123" t="s">
        <v>11</v>
      </c>
      <c r="N11" s="124" t="s">
        <v>30</v>
      </c>
      <c r="O11" s="123" t="s">
        <v>1</v>
      </c>
      <c r="P11" s="123" t="s">
        <v>2</v>
      </c>
      <c r="Q11" s="123" t="s">
        <v>16</v>
      </c>
      <c r="R11" s="123" t="s">
        <v>17</v>
      </c>
      <c r="S11" s="123" t="s">
        <v>18</v>
      </c>
      <c r="T11" s="123" t="s">
        <v>19</v>
      </c>
      <c r="U11" s="123" t="s">
        <v>20</v>
      </c>
    </row>
    <row r="12" spans="2:21" ht="34.5" thickBot="1" x14ac:dyDescent="0.2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5" t="s">
        <v>38</v>
      </c>
      <c r="N12" s="125" t="s">
        <v>31</v>
      </c>
      <c r="O12" s="125" t="s">
        <v>21</v>
      </c>
      <c r="P12" s="125" t="s">
        <v>22</v>
      </c>
      <c r="Q12" s="125" t="s">
        <v>23</v>
      </c>
      <c r="R12" s="125" t="s">
        <v>24</v>
      </c>
      <c r="S12" s="125" t="s">
        <v>43</v>
      </c>
      <c r="T12" s="125" t="s">
        <v>42</v>
      </c>
      <c r="U12" s="125" t="s">
        <v>25</v>
      </c>
    </row>
    <row r="13" spans="2:21" ht="13.5" thickBot="1" x14ac:dyDescent="0.25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5" t="s">
        <v>81</v>
      </c>
      <c r="N13" s="125"/>
      <c r="O13" s="125"/>
      <c r="P13" s="125"/>
      <c r="Q13" s="125"/>
      <c r="R13" s="125"/>
      <c r="S13" s="125"/>
      <c r="T13" s="125"/>
      <c r="U13" s="125"/>
    </row>
    <row r="14" spans="2:21" x14ac:dyDescent="0.2">
      <c r="B14" t="str">
        <f>O14</f>
        <v>CSCESOL</v>
      </c>
      <c r="C14" t="str">
        <f>$B$2&amp;RIGHT(B14,3)</f>
        <v>COMSOL</v>
      </c>
      <c r="D14" t="str">
        <f t="shared" ref="D14:D15" si="0">$O$5</f>
        <v>DCSC</v>
      </c>
      <c r="E14" s="60">
        <f>'EB1'!$R$6*'EB1'!$R$24/(G14*H14)*1.01</f>
        <v>0</v>
      </c>
      <c r="F14" s="64">
        <v>1</v>
      </c>
      <c r="G14" s="64">
        <v>0.3</v>
      </c>
      <c r="H14" s="65">
        <v>31.536000000000001</v>
      </c>
      <c r="I14" s="39">
        <v>15</v>
      </c>
      <c r="K14" s="149">
        <f>E14*G14*H14</f>
        <v>0</v>
      </c>
      <c r="M14" s="122" t="s">
        <v>95</v>
      </c>
      <c r="N14" s="126"/>
      <c r="O14" s="126" t="str">
        <f>LEFT($B$2)&amp;'EB1'!$C$21&amp;$I$2&amp;'EB1'!$R$2</f>
        <v>CSCESOL</v>
      </c>
      <c r="P14" s="126" t="str">
        <f>$D$2&amp;" "&amp;$C$2&amp; " Sector - "&amp;""&amp;$I$1&amp;" "&amp;'EB1'!$X$21&amp;" - "&amp;'EB1'!$R$3</f>
        <v>Demand Technologies Commercial Sector - Existing Space Cooling - Solar energy</v>
      </c>
      <c r="Q14" s="126" t="str">
        <f t="shared" ref="Q14:Q18" si="1">$E$2</f>
        <v>PJ</v>
      </c>
      <c r="R14" s="126" t="s">
        <v>119</v>
      </c>
      <c r="S14" s="157"/>
      <c r="T14" s="126"/>
      <c r="U14" s="126"/>
    </row>
    <row r="15" spans="2:21" x14ac:dyDescent="0.2">
      <c r="B15" s="5" t="str">
        <f t="shared" ref="B15:B18" si="2">O15</f>
        <v>CSCEELC</v>
      </c>
      <c r="C15" s="5" t="str">
        <f t="shared" ref="C15:C18" si="3">$B$2&amp;RIGHT(B15,3)</f>
        <v>COMELC</v>
      </c>
      <c r="D15" s="5" t="str">
        <f t="shared" si="0"/>
        <v>DCSC</v>
      </c>
      <c r="E15" s="74">
        <f>'EB1'!$U$6*'EB1'!$U$24/(G15*H15)*1.01</f>
        <v>0.70303035795281599</v>
      </c>
      <c r="F15" s="102">
        <v>0.95</v>
      </c>
      <c r="G15" s="102">
        <v>0.3</v>
      </c>
      <c r="H15" s="103">
        <v>31.536000000000001</v>
      </c>
      <c r="I15" s="104">
        <v>15</v>
      </c>
      <c r="J15" s="5"/>
      <c r="K15" s="150">
        <f>E15*G15*H15</f>
        <v>6.6512296105200015</v>
      </c>
      <c r="M15" s="122" t="s">
        <v>95</v>
      </c>
      <c r="N15" s="126"/>
      <c r="O15" s="126" t="str">
        <f>LEFT($B$2)&amp;'EB1'!$C$21&amp;$I$2&amp;'EB1'!$U$2</f>
        <v>CSCEELC</v>
      </c>
      <c r="P15" s="126" t="str">
        <f>$D$2&amp;" "&amp;$C$2&amp; " Sector - "&amp;""&amp;$I$1&amp;" "&amp;'EB1'!$X$21&amp;" - "&amp;'EB1'!$U$3</f>
        <v>Demand Technologies Commercial Sector - Existing Space Cooling - Electricity</v>
      </c>
      <c r="Q15" s="126" t="str">
        <f t="shared" si="1"/>
        <v>PJ</v>
      </c>
      <c r="R15" s="126" t="s">
        <v>119</v>
      </c>
      <c r="S15" s="126"/>
      <c r="T15" s="126"/>
      <c r="U15" s="126"/>
    </row>
    <row r="16" spans="2:21" x14ac:dyDescent="0.2">
      <c r="B16" s="105" t="str">
        <f t="shared" si="2"/>
        <v>CAPEELC</v>
      </c>
      <c r="C16" s="105" t="str">
        <f t="shared" si="3"/>
        <v>COMELC</v>
      </c>
      <c r="D16" s="105" t="str">
        <f>$O$6</f>
        <v>DCAP</v>
      </c>
      <c r="E16" s="106">
        <f>'EB1'!$U$6*'EB1'!$U$25/(G16*H16)*1.01</f>
        <v>10.077620622000001</v>
      </c>
      <c r="F16" s="107">
        <v>1</v>
      </c>
      <c r="G16" s="107">
        <v>0.3</v>
      </c>
      <c r="H16" s="119">
        <v>1</v>
      </c>
      <c r="I16" s="108">
        <v>5</v>
      </c>
      <c r="J16" s="105"/>
      <c r="K16" s="151">
        <f t="shared" ref="K16:K18" si="4">E16*G16*H16</f>
        <v>3.0232861866000005</v>
      </c>
      <c r="M16" s="122" t="s">
        <v>95</v>
      </c>
      <c r="N16" s="129"/>
      <c r="O16" s="129" t="str">
        <f>LEFT($B$2)&amp;'EB1'!$C$22&amp;$I$2&amp;'EB1'!$U$2</f>
        <v>CAPEELC</v>
      </c>
      <c r="P16" s="129" t="str">
        <f>$D$2&amp;" "&amp;$C$2&amp; " Sector - "&amp;""&amp;$I$1&amp;" "&amp;'EB1'!$X$22&amp;" - "&amp;'EB1'!$U$3</f>
        <v>Demand Technologies Commercial Sector - Existing Appliancens - Electricity</v>
      </c>
      <c r="Q16" s="129" t="str">
        <f t="shared" si="1"/>
        <v>PJ</v>
      </c>
      <c r="R16" s="129" t="str">
        <f t="shared" ref="R16:R18" si="5">$E$2&amp;"a"</f>
        <v>PJa</v>
      </c>
      <c r="S16" s="129"/>
      <c r="T16" s="129"/>
      <c r="U16" s="129"/>
    </row>
    <row r="17" spans="2:21" x14ac:dyDescent="0.2">
      <c r="B17" t="str">
        <f t="shared" si="2"/>
        <v>COTEOIL</v>
      </c>
      <c r="C17" t="str">
        <f t="shared" si="3"/>
        <v>COMOIL</v>
      </c>
      <c r="D17" t="str">
        <f>$O$7</f>
        <v>DCOT</v>
      </c>
      <c r="E17" s="60">
        <f>SUM('EB1'!$G$6:$J$6,'EB1'!$L$6:$M$6)*'EB1'!$I$26/(G17*H17)*1.01</f>
        <v>18.1105393104</v>
      </c>
      <c r="F17" s="64">
        <v>1</v>
      </c>
      <c r="G17" s="64">
        <v>0.3</v>
      </c>
      <c r="H17" s="120">
        <v>1</v>
      </c>
      <c r="I17" s="39">
        <v>10</v>
      </c>
      <c r="K17" s="149">
        <f t="shared" si="4"/>
        <v>5.43316179312</v>
      </c>
      <c r="M17" s="122" t="s">
        <v>95</v>
      </c>
      <c r="N17" s="126"/>
      <c r="O17" s="126" t="str">
        <f>LEFT($B$2)&amp;'EB1'!$C$23&amp;$I$2&amp;'EB1'!$F$2</f>
        <v>COTEOIL</v>
      </c>
      <c r="P17" s="126" t="str">
        <f>$D$2&amp;" "&amp;$C$2&amp; " Sector - "&amp;""&amp;$I$1&amp;" "&amp;'EB1'!$X$23&amp;" - "&amp;RIGHT('EB1'!$F$3,3)</f>
        <v>Demand Technologies Commercial Sector - Existing Other - Oil</v>
      </c>
      <c r="Q17" s="126" t="str">
        <f t="shared" si="1"/>
        <v>PJ</v>
      </c>
      <c r="R17" s="126" t="str">
        <f t="shared" si="5"/>
        <v>PJa</v>
      </c>
      <c r="S17" s="126"/>
      <c r="T17" s="126"/>
      <c r="U17" s="126"/>
    </row>
    <row r="18" spans="2:21" x14ac:dyDescent="0.2">
      <c r="B18" t="str">
        <f t="shared" si="2"/>
        <v>COTEELC</v>
      </c>
      <c r="C18" t="str">
        <f t="shared" si="3"/>
        <v>COMELC</v>
      </c>
      <c r="D18" t="str">
        <f>$O$7</f>
        <v>DCOT</v>
      </c>
      <c r="E18" s="60">
        <f>'EB1'!$U$6*'EB1'!$U$26/(G18*H18)*1.01</f>
        <v>8.0620964975999989</v>
      </c>
      <c r="F18" s="64">
        <v>1</v>
      </c>
      <c r="G18" s="64">
        <v>0.3</v>
      </c>
      <c r="H18" s="120">
        <v>1</v>
      </c>
      <c r="I18" s="39">
        <v>10</v>
      </c>
      <c r="K18" s="149">
        <f t="shared" si="4"/>
        <v>2.4186289492799995</v>
      </c>
      <c r="M18" s="122" t="s">
        <v>95</v>
      </c>
      <c r="N18" s="126"/>
      <c r="O18" s="126" t="str">
        <f>LEFT($B$2)&amp;'EB1'!$C$23&amp;$I$2&amp;'EB1'!$U$2</f>
        <v>COTEELC</v>
      </c>
      <c r="P18" s="126" t="str">
        <f>$D$2&amp;" "&amp;$C$2&amp; " Sector - "&amp;""&amp;$I$1&amp;" "&amp;'EB1'!$X$23&amp;" - "&amp;'EB1'!$U$3</f>
        <v>Demand Technologies Commercial Sector - Existing Other - Electricity</v>
      </c>
      <c r="Q18" s="126" t="str">
        <f t="shared" si="1"/>
        <v>PJ</v>
      </c>
      <c r="R18" s="126" t="str">
        <f t="shared" si="5"/>
        <v>PJa</v>
      </c>
      <c r="S18" s="126"/>
      <c r="T18" s="126"/>
      <c r="U18" s="126"/>
    </row>
    <row r="19" spans="2:21" x14ac:dyDescent="0.2">
      <c r="E19" s="6"/>
      <c r="F19" s="16"/>
      <c r="G19" s="16"/>
      <c r="H19" s="16"/>
    </row>
    <row r="20" spans="2:21" x14ac:dyDescent="0.2">
      <c r="E20" s="6"/>
      <c r="F20" s="16"/>
      <c r="G20" s="16"/>
      <c r="H20" s="16"/>
      <c r="P20" s="19"/>
    </row>
    <row r="21" spans="2:21" x14ac:dyDescent="0.2">
      <c r="E21" s="6"/>
      <c r="F21" s="16"/>
      <c r="G21" s="16"/>
      <c r="H21" s="16"/>
      <c r="P21" s="19"/>
    </row>
    <row r="22" spans="2:21" x14ac:dyDescent="0.2">
      <c r="E22" s="6"/>
      <c r="F22" s="16"/>
      <c r="G22" s="16"/>
      <c r="H22" s="16"/>
      <c r="P22" s="19"/>
    </row>
    <row r="30" spans="2:21" x14ac:dyDescent="0.2">
      <c r="B30" s="39"/>
      <c r="C30" s="1" t="s">
        <v>149</v>
      </c>
    </row>
    <row r="31" spans="2:21" x14ac:dyDescent="0.2">
      <c r="B31" s="61"/>
      <c r="C31" s="1" t="s">
        <v>150</v>
      </c>
    </row>
    <row r="32" spans="2:21" x14ac:dyDescent="0.2">
      <c r="J32" s="1"/>
      <c r="K32" s="1"/>
      <c r="L32" s="1"/>
    </row>
    <row r="33" spans="10:12" x14ac:dyDescent="0.2">
      <c r="J33" s="1"/>
      <c r="K33" s="1"/>
      <c r="L33" s="1"/>
    </row>
    <row r="34" spans="10:12" x14ac:dyDescent="0.2">
      <c r="J34" s="1"/>
      <c r="K34" s="1"/>
      <c r="L34" s="1"/>
    </row>
    <row r="35" spans="10:12" x14ac:dyDescent="0.2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38"/>
  <sheetViews>
    <sheetView topLeftCell="A13" zoomScaleNormal="100" workbookViewId="0">
      <selection activeCell="F27" sqref="F27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7" t="s">
        <v>73</v>
      </c>
      <c r="C1" s="7" t="s">
        <v>74</v>
      </c>
      <c r="D1" s="7" t="s">
        <v>75</v>
      </c>
      <c r="E1" s="7" t="s">
        <v>114</v>
      </c>
      <c r="F1" s="7" t="s">
        <v>93</v>
      </c>
      <c r="G1" s="7" t="s">
        <v>98</v>
      </c>
      <c r="H1" s="27"/>
    </row>
    <row r="2" spans="2:18" ht="15.75" x14ac:dyDescent="0.25">
      <c r="B2" s="9" t="str">
        <f>'EB1'!B5</f>
        <v>RSD</v>
      </c>
      <c r="C2" s="9" t="str">
        <f>'EB1'!C5</f>
        <v>Residential</v>
      </c>
      <c r="D2" s="9" t="s">
        <v>112</v>
      </c>
      <c r="E2" s="9" t="str">
        <f>'EB1'!Z2</f>
        <v>PJ</v>
      </c>
      <c r="F2" s="9" t="str">
        <f>'EB1'!Y2</f>
        <v>M$2021</v>
      </c>
      <c r="G2" s="9" t="s">
        <v>99</v>
      </c>
      <c r="H2" s="8"/>
      <c r="J2" s="121" t="s">
        <v>14</v>
      </c>
      <c r="K2" s="121"/>
      <c r="L2" s="122"/>
      <c r="M2" s="122"/>
      <c r="N2" s="122"/>
      <c r="O2" s="122"/>
      <c r="P2" s="122"/>
      <c r="Q2" s="122"/>
      <c r="R2" s="122"/>
    </row>
    <row r="3" spans="2:18" x14ac:dyDescent="0.2">
      <c r="J3" s="123" t="s">
        <v>7</v>
      </c>
      <c r="K3" s="124" t="s">
        <v>30</v>
      </c>
      <c r="L3" s="123" t="s">
        <v>0</v>
      </c>
      <c r="M3" s="123" t="s">
        <v>3</v>
      </c>
      <c r="N3" s="123" t="s">
        <v>4</v>
      </c>
      <c r="O3" s="123" t="s">
        <v>8</v>
      </c>
      <c r="P3" s="123" t="s">
        <v>9</v>
      </c>
      <c r="Q3" s="123" t="s">
        <v>10</v>
      </c>
      <c r="R3" s="123" t="s">
        <v>12</v>
      </c>
    </row>
    <row r="4" spans="2:18" ht="24" thickBot="1" x14ac:dyDescent="0.3">
      <c r="B4" s="8"/>
      <c r="C4" s="8"/>
      <c r="D4" s="8"/>
      <c r="E4" s="8"/>
      <c r="G4" s="8"/>
      <c r="J4" s="125" t="s">
        <v>37</v>
      </c>
      <c r="K4" s="125" t="s">
        <v>31</v>
      </c>
      <c r="L4" s="125" t="s">
        <v>26</v>
      </c>
      <c r="M4" s="125" t="s">
        <v>27</v>
      </c>
      <c r="N4" s="125" t="s">
        <v>4</v>
      </c>
      <c r="O4" s="125" t="s">
        <v>40</v>
      </c>
      <c r="P4" s="125" t="s">
        <v>41</v>
      </c>
      <c r="Q4" s="125" t="s">
        <v>28</v>
      </c>
      <c r="R4" s="125" t="s">
        <v>29</v>
      </c>
    </row>
    <row r="5" spans="2:18" x14ac:dyDescent="0.2">
      <c r="E5" s="11"/>
      <c r="F5" s="11"/>
      <c r="G5" s="66"/>
      <c r="H5" s="10"/>
      <c r="J5" s="126" t="s">
        <v>72</v>
      </c>
      <c r="K5" s="126"/>
      <c r="L5" s="126" t="str">
        <f>$B$2&amp;'EB1'!$D$2</f>
        <v>RSDCOA</v>
      </c>
      <c r="M5" s="127" t="str">
        <f>$C$2&amp;" "&amp;'EB1'!$D$3</f>
        <v>Residential Solid Fuels</v>
      </c>
      <c r="N5" s="126" t="str">
        <f t="shared" ref="N5:N10" si="0">$E$2</f>
        <v>PJ</v>
      </c>
      <c r="O5" s="126"/>
      <c r="P5" s="126"/>
      <c r="Q5" s="126"/>
      <c r="R5" s="126"/>
    </row>
    <row r="6" spans="2:18" x14ac:dyDescent="0.2">
      <c r="E6" s="11"/>
      <c r="F6" s="11"/>
      <c r="G6" s="66"/>
      <c r="H6" s="10"/>
      <c r="J6" s="126"/>
      <c r="K6" s="126"/>
      <c r="L6" s="126" t="str">
        <f>$B$2&amp;'EB1'!$E$2</f>
        <v>RSDGAS</v>
      </c>
      <c r="M6" s="127" t="str">
        <f>$C$2&amp;" "&amp;'EB1'!$E$3</f>
        <v>Residential Natural Gas</v>
      </c>
      <c r="N6" s="126" t="str">
        <f t="shared" si="0"/>
        <v>PJ</v>
      </c>
      <c r="O6" s="126"/>
      <c r="P6" s="126"/>
      <c r="Q6" s="126"/>
      <c r="R6" s="126"/>
    </row>
    <row r="7" spans="2:18" x14ac:dyDescent="0.2">
      <c r="E7" s="11"/>
      <c r="F7" s="11"/>
      <c r="G7" s="66"/>
      <c r="H7" s="10"/>
      <c r="J7" s="126"/>
      <c r="K7" s="126"/>
      <c r="L7" s="126" t="str">
        <f>$B$2&amp;'EB1'!$F$2</f>
        <v>RSDOIL</v>
      </c>
      <c r="M7" s="127" t="str">
        <f>$C$2&amp;" "&amp;RIGHT('EB1'!$F$3,3)</f>
        <v>Residential Oil</v>
      </c>
      <c r="N7" s="126" t="str">
        <f t="shared" si="0"/>
        <v>PJ</v>
      </c>
      <c r="O7" s="126"/>
      <c r="P7" s="126"/>
      <c r="Q7" s="126"/>
      <c r="R7" s="126"/>
    </row>
    <row r="8" spans="2:18" x14ac:dyDescent="0.2">
      <c r="E8" s="11"/>
      <c r="F8" s="11"/>
      <c r="G8" s="66"/>
      <c r="H8" s="10"/>
      <c r="J8" s="126"/>
      <c r="K8" s="126"/>
      <c r="L8" s="126" t="str">
        <f>$B$2&amp;'EB1'!$O$2</f>
        <v>RSDBIO</v>
      </c>
      <c r="M8" s="127" t="str">
        <f>$C$2&amp;" "&amp;'EB1'!$O$3</f>
        <v>Residential Biomass</v>
      </c>
      <c r="N8" s="126" t="str">
        <f t="shared" si="0"/>
        <v>PJ</v>
      </c>
      <c r="O8" s="126"/>
      <c r="P8" s="126"/>
      <c r="Q8" s="126"/>
      <c r="R8" s="126"/>
    </row>
    <row r="9" spans="2:18" x14ac:dyDescent="0.2">
      <c r="E9" s="11"/>
      <c r="F9" s="11"/>
      <c r="G9" s="66"/>
      <c r="H9" s="10"/>
      <c r="J9" s="126"/>
      <c r="K9" s="126"/>
      <c r="L9" s="126" t="str">
        <f>$B$2&amp;'EB1'!$R$2</f>
        <v>RSDSOL</v>
      </c>
      <c r="M9" s="127" t="str">
        <f>$C$2&amp;" "&amp;'EB1'!$R$3</f>
        <v>Residential Solar energy</v>
      </c>
      <c r="N9" s="126" t="str">
        <f t="shared" si="0"/>
        <v>PJ</v>
      </c>
      <c r="O9" s="126"/>
      <c r="P9" s="126"/>
      <c r="Q9" s="126"/>
      <c r="R9" s="126"/>
    </row>
    <row r="10" spans="2:18" x14ac:dyDescent="0.2">
      <c r="E10" s="11"/>
      <c r="F10" s="11"/>
      <c r="G10" s="66"/>
      <c r="H10" s="10"/>
      <c r="J10" s="126"/>
      <c r="K10" s="126"/>
      <c r="L10" s="126" t="str">
        <f>$B$2&amp;'EB1'!$U$2</f>
        <v>RSDELC</v>
      </c>
      <c r="M10" s="127" t="str">
        <f>$C$2&amp;" "&amp;'EB1'!$R$3</f>
        <v>Residential Solar energy</v>
      </c>
      <c r="N10" s="126" t="str">
        <f t="shared" si="0"/>
        <v>PJ</v>
      </c>
      <c r="O10" s="126"/>
      <c r="P10" s="126" t="s">
        <v>124</v>
      </c>
      <c r="Q10" s="126"/>
      <c r="R10" s="126" t="s">
        <v>50</v>
      </c>
    </row>
    <row r="11" spans="2:18" x14ac:dyDescent="0.2">
      <c r="E11" s="11"/>
      <c r="F11" s="11"/>
      <c r="G11" s="66"/>
      <c r="H11" s="10"/>
      <c r="M11" s="19"/>
    </row>
    <row r="12" spans="2:18" x14ac:dyDescent="0.2">
      <c r="L12" s="23"/>
      <c r="M12" s="24"/>
    </row>
    <row r="13" spans="2:18" x14ac:dyDescent="0.2">
      <c r="D13" s="4" t="s">
        <v>13</v>
      </c>
      <c r="E13" s="4"/>
      <c r="F13" s="4"/>
      <c r="J13" s="121" t="s">
        <v>15</v>
      </c>
      <c r="K13" s="121"/>
      <c r="L13" s="126"/>
      <c r="M13" s="126"/>
      <c r="N13" s="126"/>
      <c r="O13" s="126"/>
      <c r="P13" s="126"/>
      <c r="Q13" s="126"/>
      <c r="R13" s="126"/>
    </row>
    <row r="14" spans="2:18" x14ac:dyDescent="0.2">
      <c r="B14" s="17" t="s">
        <v>1</v>
      </c>
      <c r="C14" s="17" t="s">
        <v>5</v>
      </c>
      <c r="D14" s="17" t="s">
        <v>6</v>
      </c>
      <c r="E14" s="72" t="s">
        <v>146</v>
      </c>
      <c r="F14" s="69" t="s">
        <v>126</v>
      </c>
      <c r="G14" s="69" t="s">
        <v>84</v>
      </c>
      <c r="H14" s="69" t="s">
        <v>79</v>
      </c>
      <c r="J14" s="123" t="s">
        <v>11</v>
      </c>
      <c r="K14" s="124" t="s">
        <v>30</v>
      </c>
      <c r="L14" s="123" t="s">
        <v>1</v>
      </c>
      <c r="M14" s="123" t="s">
        <v>2</v>
      </c>
      <c r="N14" s="123" t="s">
        <v>16</v>
      </c>
      <c r="O14" s="123" t="s">
        <v>17</v>
      </c>
      <c r="P14" s="123" t="s">
        <v>18</v>
      </c>
      <c r="Q14" s="123" t="s">
        <v>19</v>
      </c>
      <c r="R14" s="123" t="s">
        <v>20</v>
      </c>
    </row>
    <row r="15" spans="2:18" ht="23.25" thickBot="1" x14ac:dyDescent="0.25">
      <c r="B15" s="15" t="s">
        <v>39</v>
      </c>
      <c r="C15" s="15" t="s">
        <v>32</v>
      </c>
      <c r="D15" s="15" t="s">
        <v>33</v>
      </c>
      <c r="E15" s="15" t="s">
        <v>145</v>
      </c>
      <c r="F15" s="15" t="s">
        <v>34</v>
      </c>
      <c r="G15" s="15" t="s">
        <v>89</v>
      </c>
      <c r="H15" s="15" t="s">
        <v>168</v>
      </c>
      <c r="J15" s="125" t="s">
        <v>38</v>
      </c>
      <c r="K15" s="125" t="s">
        <v>31</v>
      </c>
      <c r="L15" s="125" t="s">
        <v>21</v>
      </c>
      <c r="M15" s="125" t="s">
        <v>22</v>
      </c>
      <c r="N15" s="125" t="s">
        <v>23</v>
      </c>
      <c r="O15" s="125" t="s">
        <v>24</v>
      </c>
      <c r="P15" s="125" t="s">
        <v>43</v>
      </c>
      <c r="Q15" s="125" t="s">
        <v>42</v>
      </c>
      <c r="R15" s="125" t="s">
        <v>25</v>
      </c>
    </row>
    <row r="16" spans="2:18" ht="13.5" thickBot="1" x14ac:dyDescent="0.25">
      <c r="B16" s="14" t="s">
        <v>90</v>
      </c>
      <c r="C16" s="14"/>
      <c r="D16" s="14"/>
      <c r="E16" s="12"/>
      <c r="F16" s="12" t="str">
        <f>E2&amp;"a"</f>
        <v>PJa</v>
      </c>
      <c r="G16" s="12"/>
      <c r="H16" s="12" t="s">
        <v>91</v>
      </c>
      <c r="J16" s="125" t="s">
        <v>81</v>
      </c>
      <c r="K16" s="128"/>
      <c r="L16" s="128"/>
      <c r="M16" s="128"/>
      <c r="N16" s="128"/>
      <c r="O16" s="128"/>
      <c r="P16" s="128"/>
      <c r="Q16" s="128"/>
      <c r="R16" s="128"/>
    </row>
    <row r="17" spans="2:18" x14ac:dyDescent="0.2">
      <c r="B17" t="str">
        <f>L17</f>
        <v>FTE-RSDCOA</v>
      </c>
      <c r="C17" t="str">
        <f>RIGHT(D17,3)</f>
        <v>COA</v>
      </c>
      <c r="D17" t="str">
        <f>L5</f>
        <v>RSDCOA</v>
      </c>
      <c r="E17" s="11"/>
      <c r="F17" s="11"/>
      <c r="G17" s="62">
        <v>1</v>
      </c>
      <c r="H17" s="63">
        <v>50</v>
      </c>
      <c r="J17" s="122" t="s">
        <v>113</v>
      </c>
      <c r="K17" s="126"/>
      <c r="L17" s="126" t="str">
        <f t="shared" ref="L17:L22" si="1">"FT"&amp;$G$2&amp;"-"&amp;L5</f>
        <v>FTE-RSDCOA</v>
      </c>
      <c r="M17" s="127" t="str">
        <f t="shared" ref="M17:M22" si="2">$D$2&amp;" Technology"&amp;" "&amp;$G$1&amp;" "&amp;M5</f>
        <v>Sector Fuel Technology Existing Residential Solid Fuels</v>
      </c>
      <c r="N17" s="126" t="str">
        <f t="shared" ref="N17:N22" si="3">$E$2</f>
        <v>PJ</v>
      </c>
      <c r="O17" s="126" t="str">
        <f t="shared" ref="O17:O22" si="4">$E$2&amp;"a"</f>
        <v>PJa</v>
      </c>
      <c r="P17" s="126"/>
      <c r="Q17" s="126"/>
      <c r="R17" s="126"/>
    </row>
    <row r="18" spans="2:18" x14ac:dyDescent="0.2">
      <c r="B18" t="str">
        <f>L18</f>
        <v>FTE-RSDGAS</v>
      </c>
      <c r="C18" t="str">
        <f>RIGHT(D18,3)</f>
        <v>GAS</v>
      </c>
      <c r="D18" t="str">
        <f>L6</f>
        <v>RSDGAS</v>
      </c>
      <c r="E18" s="11"/>
      <c r="F18" s="11"/>
      <c r="G18" s="62">
        <v>1</v>
      </c>
      <c r="H18" s="63">
        <v>50</v>
      </c>
      <c r="J18" s="126"/>
      <c r="K18" s="126"/>
      <c r="L18" s="126" t="str">
        <f t="shared" si="1"/>
        <v>FTE-RSDGAS</v>
      </c>
      <c r="M18" s="127" t="str">
        <f t="shared" si="2"/>
        <v>Sector Fuel Technology Existing Residential Natural Gas</v>
      </c>
      <c r="N18" s="126" t="str">
        <f t="shared" si="3"/>
        <v>PJ</v>
      </c>
      <c r="O18" s="126" t="str">
        <f t="shared" si="4"/>
        <v>PJa</v>
      </c>
      <c r="P18" s="126"/>
      <c r="Q18" s="126"/>
      <c r="R18" s="126"/>
    </row>
    <row r="19" spans="2:18" x14ac:dyDescent="0.2">
      <c r="B19" t="str">
        <f>L19</f>
        <v>FTE-RSDOIL</v>
      </c>
      <c r="C19" t="str">
        <f>'EB1'!$G$2</f>
        <v>DSL</v>
      </c>
      <c r="D19" t="str">
        <f>L7</f>
        <v>RSDOIL</v>
      </c>
      <c r="E19" s="115">
        <f>'EB1'!$G$5/SUM('EB1'!$G$5:$J$5,'EB1'!$L$5:$M$5)</f>
        <v>0</v>
      </c>
      <c r="G19" s="62">
        <v>1</v>
      </c>
      <c r="H19" s="63">
        <v>50</v>
      </c>
      <c r="J19" s="126"/>
      <c r="K19" s="126"/>
      <c r="L19" s="126" t="str">
        <f t="shared" si="1"/>
        <v>FTE-RSDOIL</v>
      </c>
      <c r="M19" s="127" t="str">
        <f t="shared" si="2"/>
        <v>Sector Fuel Technology Existing Residential Oil</v>
      </c>
      <c r="N19" s="126" t="str">
        <f t="shared" si="3"/>
        <v>PJ</v>
      </c>
      <c r="O19" s="126" t="str">
        <f t="shared" si="4"/>
        <v>PJa</v>
      </c>
      <c r="P19" s="126"/>
      <c r="Q19" s="126"/>
      <c r="R19" s="126"/>
    </row>
    <row r="20" spans="2:18" x14ac:dyDescent="0.2">
      <c r="C20" t="str">
        <f>'EB1'!$H$2</f>
        <v>KER</v>
      </c>
      <c r="E20" s="115">
        <f>'EB1'!$H$5/SUM('EB1'!$G$5:$J$5,'EB1'!$L$5:$M$5)</f>
        <v>0</v>
      </c>
      <c r="F20" s="11"/>
      <c r="G20" s="66"/>
      <c r="H20" s="10"/>
      <c r="J20" s="126"/>
      <c r="K20" s="126"/>
      <c r="L20" s="126" t="str">
        <f t="shared" si="1"/>
        <v>FTE-RSDBIO</v>
      </c>
      <c r="M20" s="127" t="str">
        <f t="shared" si="2"/>
        <v>Sector Fuel Technology Existing Residential Biomass</v>
      </c>
      <c r="N20" s="126" t="str">
        <f t="shared" si="3"/>
        <v>PJ</v>
      </c>
      <c r="O20" s="126" t="str">
        <f t="shared" si="4"/>
        <v>PJa</v>
      </c>
      <c r="P20" s="126"/>
      <c r="Q20" s="126"/>
      <c r="R20" s="126"/>
    </row>
    <row r="21" spans="2:18" x14ac:dyDescent="0.2">
      <c r="C21" t="str">
        <f>'EB1'!$I$2</f>
        <v>LPG</v>
      </c>
      <c r="E21" s="115">
        <f>'EB1'!$I$5/SUM('EB1'!$G$5:$J$5,'EB1'!$L$5:$M$5)</f>
        <v>1</v>
      </c>
      <c r="F21" s="11"/>
      <c r="G21" s="66"/>
      <c r="H21" s="10"/>
      <c r="J21" s="126"/>
      <c r="K21" s="126"/>
      <c r="L21" s="126" t="str">
        <f t="shared" si="1"/>
        <v>FTE-RSDSOL</v>
      </c>
      <c r="M21" s="127" t="str">
        <f t="shared" si="2"/>
        <v>Sector Fuel Technology Existing Residential Solar energy</v>
      </c>
      <c r="N21" s="126" t="str">
        <f t="shared" si="3"/>
        <v>PJ</v>
      </c>
      <c r="O21" s="126" t="str">
        <f t="shared" si="4"/>
        <v>PJa</v>
      </c>
      <c r="P21" s="126"/>
      <c r="Q21" s="126"/>
      <c r="R21" s="126"/>
    </row>
    <row r="22" spans="2:18" x14ac:dyDescent="0.2">
      <c r="C22" t="str">
        <f>'EB1'!$J$2</f>
        <v>GSL</v>
      </c>
      <c r="E22" s="115">
        <f>'EB1'!$J$5/SUM('EB1'!$G$5:$J$5,'EB1'!$L$5:$M$5)</f>
        <v>0</v>
      </c>
      <c r="F22" s="11"/>
      <c r="G22" s="66"/>
      <c r="H22" s="10"/>
      <c r="J22" s="126"/>
      <c r="K22" s="126"/>
      <c r="L22" s="126" t="str">
        <f t="shared" si="1"/>
        <v>FTE-RSDELC</v>
      </c>
      <c r="M22" s="127" t="str">
        <f t="shared" si="2"/>
        <v>Sector Fuel Technology Existing Residential Solar energy</v>
      </c>
      <c r="N22" s="126" t="str">
        <f t="shared" si="3"/>
        <v>PJ</v>
      </c>
      <c r="O22" s="126" t="str">
        <f t="shared" si="4"/>
        <v>PJa</v>
      </c>
      <c r="P22" s="126" t="s">
        <v>124</v>
      </c>
      <c r="Q22" s="126"/>
      <c r="R22" s="126"/>
    </row>
    <row r="23" spans="2:18" x14ac:dyDescent="0.2">
      <c r="C23" t="str">
        <f>'EB1'!$L$2</f>
        <v>HFO</v>
      </c>
      <c r="E23" s="115">
        <f>'EB1'!$L$5/SUM('EB1'!$G$5:$J$5,'EB1'!$L$5:$M$5)</f>
        <v>0</v>
      </c>
      <c r="F23" s="11"/>
      <c r="G23" s="66"/>
      <c r="H23" s="10"/>
      <c r="M23" s="19"/>
    </row>
    <row r="24" spans="2:18" x14ac:dyDescent="0.2">
      <c r="C24" t="str">
        <f>'EB1'!$M$2</f>
        <v>OPP</v>
      </c>
      <c r="E24" s="115">
        <f>'EB1'!$M$5/SUM('EB1'!$G$5:$J$5,'EB1'!$L$5:$M$5)</f>
        <v>0</v>
      </c>
      <c r="F24" s="11"/>
      <c r="G24" s="66"/>
      <c r="H24" s="10"/>
      <c r="M24" s="19"/>
    </row>
    <row r="25" spans="2:18" x14ac:dyDescent="0.2">
      <c r="B25" t="str">
        <f>L20</f>
        <v>FTE-RSDBIO</v>
      </c>
      <c r="C25" t="str">
        <f>RIGHT(D25,3)</f>
        <v>BIO</v>
      </c>
      <c r="D25" t="str">
        <f>L8</f>
        <v>RSDBIO</v>
      </c>
      <c r="E25" s="11"/>
      <c r="F25" s="11"/>
      <c r="G25" s="62">
        <v>1</v>
      </c>
      <c r="H25" s="63">
        <v>50</v>
      </c>
      <c r="J25" s="23"/>
      <c r="K25" s="23"/>
      <c r="M25" s="19"/>
    </row>
    <row r="26" spans="2:18" x14ac:dyDescent="0.2">
      <c r="B26" t="str">
        <f>L21</f>
        <v>FTE-RSDSOL</v>
      </c>
      <c r="C26" t="str">
        <f>RIGHT(D26,3)</f>
        <v>SOL</v>
      </c>
      <c r="D26" t="str">
        <f>L9</f>
        <v>RSDSOL</v>
      </c>
      <c r="E26" s="11"/>
      <c r="F26" s="11"/>
      <c r="G26" s="62">
        <v>1</v>
      </c>
      <c r="H26" s="63">
        <v>50</v>
      </c>
      <c r="J26" s="23"/>
      <c r="K26" s="23"/>
      <c r="M26" s="19"/>
    </row>
    <row r="27" spans="2:18" x14ac:dyDescent="0.2">
      <c r="B27" t="str">
        <f>L22</f>
        <v>FTE-RSDELC</v>
      </c>
      <c r="C27" t="str">
        <f>RIGHT(D27,3)</f>
        <v>ELC</v>
      </c>
      <c r="D27" t="str">
        <f>L10</f>
        <v>RSDELC</v>
      </c>
      <c r="E27" s="11"/>
      <c r="F27" s="11">
        <v>99999</v>
      </c>
      <c r="G27" s="62">
        <v>1</v>
      </c>
      <c r="H27" s="63">
        <v>50</v>
      </c>
      <c r="J27" s="23"/>
      <c r="K27" s="23"/>
      <c r="M27" s="19"/>
    </row>
    <row r="28" spans="2:18" x14ac:dyDescent="0.2">
      <c r="E28" s="11"/>
      <c r="F28" s="11"/>
      <c r="G28" s="66"/>
      <c r="H28" s="10"/>
      <c r="J28" s="23"/>
      <c r="K28" s="23"/>
      <c r="M28" s="19"/>
    </row>
    <row r="29" spans="2:18" x14ac:dyDescent="0.2">
      <c r="E29" s="11"/>
      <c r="F29" s="11"/>
      <c r="G29" s="66"/>
      <c r="H29" s="10"/>
      <c r="M29" s="19"/>
    </row>
    <row r="30" spans="2:18" x14ac:dyDescent="0.2">
      <c r="E30" s="11"/>
      <c r="F30" s="11"/>
      <c r="G30" s="66"/>
      <c r="H30" s="10"/>
    </row>
    <row r="31" spans="2:18" x14ac:dyDescent="0.2">
      <c r="B31" s="39"/>
      <c r="C31" s="1" t="s">
        <v>149</v>
      </c>
      <c r="D31" s="23"/>
      <c r="E31" s="11"/>
      <c r="F31" s="11"/>
      <c r="G31" s="66"/>
      <c r="H31" s="10"/>
    </row>
    <row r="32" spans="2:18" x14ac:dyDescent="0.2">
      <c r="B32" s="61"/>
      <c r="C32" s="1" t="s">
        <v>150</v>
      </c>
      <c r="D32" s="23"/>
      <c r="E32" s="11"/>
      <c r="F32" s="11"/>
      <c r="G32" s="66"/>
      <c r="H32" s="10"/>
    </row>
    <row r="33" spans="2:8" x14ac:dyDescent="0.2">
      <c r="B33" s="23"/>
      <c r="D33" s="23"/>
      <c r="E33" s="95"/>
      <c r="F33" s="11"/>
      <c r="G33" s="66"/>
      <c r="H33" s="10"/>
    </row>
    <row r="34" spans="2:8" x14ac:dyDescent="0.2">
      <c r="B34" s="23"/>
      <c r="D34" s="23"/>
      <c r="E34" s="95"/>
      <c r="F34" s="11"/>
      <c r="G34" s="66"/>
      <c r="H34" s="10"/>
    </row>
    <row r="35" spans="2:8" x14ac:dyDescent="0.2">
      <c r="B35" s="23"/>
      <c r="D35" s="23"/>
      <c r="E35" s="95"/>
      <c r="F35" s="11"/>
      <c r="G35" s="66"/>
      <c r="H35" s="10"/>
    </row>
    <row r="36" spans="2:8" x14ac:dyDescent="0.2">
      <c r="B36" s="23"/>
      <c r="D36" s="23"/>
      <c r="E36" s="95"/>
      <c r="F36" s="11"/>
      <c r="G36" s="66"/>
      <c r="H36" s="10"/>
    </row>
    <row r="37" spans="2:8" x14ac:dyDescent="0.2">
      <c r="B37" s="23"/>
      <c r="D37" s="23"/>
      <c r="E37" s="11"/>
      <c r="F37" s="11"/>
      <c r="G37" s="66"/>
      <c r="H37" s="10"/>
    </row>
    <row r="38" spans="2:8" x14ac:dyDescent="0.2">
      <c r="B38" s="23"/>
      <c r="D38" s="23"/>
      <c r="E38" s="11"/>
      <c r="F38" s="11"/>
      <c r="G38" s="66"/>
      <c r="H38" s="1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35"/>
  <sheetViews>
    <sheetView topLeftCell="A4" zoomScaleNormal="100" workbookViewId="0">
      <selection activeCell="C21" sqref="C21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2.42578125" bestFit="1" customWidth="1"/>
    <col min="7" max="7" width="13.140625" bestFit="1" customWidth="1"/>
    <col min="8" max="8" width="14.42578125" bestFit="1" customWidth="1"/>
    <col min="9" max="9" width="8.140625" customWidth="1"/>
    <col min="10" max="10" width="2" customWidth="1"/>
    <col min="11" max="11" width="11.5703125" customWidth="1"/>
    <col min="12" max="12" width="2" bestFit="1" customWidth="1"/>
    <col min="13" max="13" width="12.7109375" bestFit="1" customWidth="1"/>
    <col min="14" max="14" width="7.140625" customWidth="1"/>
    <col min="15" max="15" width="16.140625" bestFit="1" customWidth="1"/>
    <col min="16" max="16" width="77.5703125" bestFit="1" customWidth="1"/>
    <col min="17" max="17" width="5.7109375" customWidth="1"/>
    <col min="18" max="18" width="11.71093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7" t="s">
        <v>73</v>
      </c>
      <c r="C1" s="7" t="s">
        <v>75</v>
      </c>
      <c r="D1" s="7" t="s">
        <v>115</v>
      </c>
      <c r="E1" s="21" t="s">
        <v>23</v>
      </c>
      <c r="F1" s="21" t="s">
        <v>118</v>
      </c>
      <c r="G1" s="7" t="s">
        <v>78</v>
      </c>
      <c r="I1" s="7" t="s">
        <v>98</v>
      </c>
    </row>
    <row r="2" spans="2:21" ht="31.5" x14ac:dyDescent="0.25">
      <c r="B2" s="9" t="str">
        <f>'EB1'!B5</f>
        <v>RSD</v>
      </c>
      <c r="C2" s="9" t="str">
        <f>'EB1'!C5</f>
        <v>Residential</v>
      </c>
      <c r="D2" s="18" t="str">
        <f>"Demand Technologies"</f>
        <v>Demand Technologies</v>
      </c>
      <c r="E2" s="9" t="str">
        <f>'EB1'!Z2</f>
        <v>PJ</v>
      </c>
      <c r="F2" s="9" t="s">
        <v>157</v>
      </c>
      <c r="G2" s="9" t="str">
        <f>'EB1'!Y2</f>
        <v>M$2021</v>
      </c>
      <c r="I2" s="9" t="s">
        <v>99</v>
      </c>
      <c r="M2" s="121" t="s">
        <v>14</v>
      </c>
      <c r="N2" s="121"/>
      <c r="O2" s="122"/>
      <c r="P2" s="122"/>
      <c r="Q2" s="122"/>
      <c r="R2" s="122"/>
      <c r="S2" s="122"/>
      <c r="T2" s="122"/>
      <c r="U2" s="122"/>
    </row>
    <row r="3" spans="2:21" x14ac:dyDescent="0.2">
      <c r="M3" s="123" t="s">
        <v>7</v>
      </c>
      <c r="N3" s="124" t="s">
        <v>30</v>
      </c>
      <c r="O3" s="123" t="s">
        <v>0</v>
      </c>
      <c r="P3" s="123" t="s">
        <v>3</v>
      </c>
      <c r="Q3" s="123" t="s">
        <v>4</v>
      </c>
      <c r="R3" s="123" t="s">
        <v>8</v>
      </c>
      <c r="S3" s="123" t="s">
        <v>9</v>
      </c>
      <c r="T3" s="123" t="s">
        <v>10</v>
      </c>
      <c r="U3" s="123" t="s">
        <v>12</v>
      </c>
    </row>
    <row r="4" spans="2:21" ht="24" thickBot="1" x14ac:dyDescent="0.3">
      <c r="B4" s="8"/>
      <c r="C4" s="8"/>
      <c r="D4" s="8"/>
      <c r="E4" s="8"/>
      <c r="F4" s="8"/>
      <c r="M4" s="125" t="s">
        <v>37</v>
      </c>
      <c r="N4" s="125" t="s">
        <v>31</v>
      </c>
      <c r="O4" s="125" t="s">
        <v>26</v>
      </c>
      <c r="P4" s="125" t="s">
        <v>27</v>
      </c>
      <c r="Q4" s="125" t="s">
        <v>4</v>
      </c>
      <c r="R4" s="125" t="s">
        <v>40</v>
      </c>
      <c r="S4" s="125" t="s">
        <v>41</v>
      </c>
      <c r="T4" s="125" t="s">
        <v>28</v>
      </c>
      <c r="U4" s="125" t="s">
        <v>29</v>
      </c>
    </row>
    <row r="5" spans="2:21" ht="15.75" x14ac:dyDescent="0.25">
      <c r="B5" s="8"/>
      <c r="C5" s="8"/>
      <c r="D5" s="8"/>
      <c r="E5" s="8"/>
      <c r="F5" s="8"/>
      <c r="M5" s="122" t="s">
        <v>83</v>
      </c>
      <c r="N5" s="126"/>
      <c r="O5" s="122" t="str">
        <f>LEFT($M$5,1)&amp;LEFT($B$2,1)&amp;'EB1'!$C$21</f>
        <v>DRSC</v>
      </c>
      <c r="P5" s="122" t="str">
        <f>LEFT($D$2,6)&amp;" "&amp;$C$2&amp; " Sector - "&amp;'EB1'!$X$21</f>
        <v>Demand Residential Sector - Space Cooling</v>
      </c>
      <c r="Q5" s="122" t="str">
        <f>$E$2</f>
        <v>PJ</v>
      </c>
      <c r="R5" s="122"/>
      <c r="S5" s="122"/>
      <c r="T5" s="122"/>
      <c r="U5" s="122"/>
    </row>
    <row r="6" spans="2:21" ht="15.75" x14ac:dyDescent="0.25">
      <c r="B6" s="8"/>
      <c r="C6" s="8"/>
      <c r="D6" s="8"/>
      <c r="E6" s="8"/>
      <c r="F6" s="8"/>
      <c r="M6" s="122"/>
      <c r="N6" s="126"/>
      <c r="O6" s="122" t="str">
        <f>LEFT($M$5,1)&amp;LEFT($B$2,1)&amp;'EB1'!$C$22</f>
        <v>DRAP</v>
      </c>
      <c r="P6" s="122" t="str">
        <f>LEFT($D$2,6)&amp;" "&amp;$C$2&amp; " Sector - "&amp;'EB1'!$X$22</f>
        <v>Demand Residential Sector - Appliancens</v>
      </c>
      <c r="Q6" s="122" t="str">
        <f>$E$2</f>
        <v>PJ</v>
      </c>
      <c r="R6" s="122"/>
      <c r="S6" s="122"/>
      <c r="T6" s="122"/>
      <c r="U6" s="122"/>
    </row>
    <row r="7" spans="2:21" ht="15.75" x14ac:dyDescent="0.25">
      <c r="B7" s="8"/>
      <c r="C7" s="8"/>
      <c r="D7" s="8"/>
      <c r="E7" s="8"/>
      <c r="F7" s="8"/>
      <c r="M7" s="122"/>
      <c r="N7" s="126"/>
      <c r="O7" s="122" t="str">
        <f>LEFT($M$5,1)&amp;LEFT($B$2,1)&amp;'EB1'!$C$23</f>
        <v>DROT</v>
      </c>
      <c r="P7" s="122" t="str">
        <f>LEFT($D$2,6)&amp;" "&amp;$C$2&amp; " Sector - "&amp;'EB1'!$X$23</f>
        <v>Demand Residential Sector - Other</v>
      </c>
      <c r="Q7" s="122" t="str">
        <f>$E$2</f>
        <v>PJ</v>
      </c>
      <c r="R7" s="122"/>
      <c r="S7" s="122"/>
      <c r="T7" s="122"/>
      <c r="U7" s="122"/>
    </row>
    <row r="8" spans="2:21" x14ac:dyDescent="0.2">
      <c r="M8" s="126" t="s">
        <v>106</v>
      </c>
      <c r="N8" s="126"/>
      <c r="O8" s="126" t="str">
        <f>$B$2&amp;'EB1'!$C$29</f>
        <v>RSDCO2</v>
      </c>
      <c r="P8" s="126" t="str">
        <f>$C$2&amp;" "&amp;'EB1'!C30</f>
        <v>Residential Carbon dioxide</v>
      </c>
      <c r="Q8" s="126" t="str">
        <f>'EB1'!$AA$2</f>
        <v>kt</v>
      </c>
      <c r="R8" s="126"/>
      <c r="S8" s="126"/>
      <c r="T8" s="126"/>
      <c r="U8" s="126"/>
    </row>
    <row r="10" spans="2:21" x14ac:dyDescent="0.2">
      <c r="D10" s="4" t="s">
        <v>13</v>
      </c>
      <c r="E10" s="4"/>
      <c r="G10" s="4"/>
      <c r="H10" s="4"/>
      <c r="I10" s="13"/>
      <c r="M10" s="121" t="s">
        <v>15</v>
      </c>
      <c r="N10" s="121"/>
      <c r="O10" s="126"/>
      <c r="P10" s="126"/>
      <c r="Q10" s="126"/>
      <c r="R10" s="126"/>
      <c r="S10" s="126"/>
      <c r="T10" s="126"/>
      <c r="U10" s="126"/>
    </row>
    <row r="11" spans="2:21" x14ac:dyDescent="0.2">
      <c r="B11" s="17" t="s">
        <v>1</v>
      </c>
      <c r="C11" s="17" t="s">
        <v>5</v>
      </c>
      <c r="D11" s="17" t="s">
        <v>6</v>
      </c>
      <c r="E11" s="69" t="s">
        <v>126</v>
      </c>
      <c r="F11" s="69" t="s">
        <v>84</v>
      </c>
      <c r="G11" s="69" t="s">
        <v>96</v>
      </c>
      <c r="H11" s="69" t="s">
        <v>120</v>
      </c>
      <c r="I11" s="69" t="s">
        <v>79</v>
      </c>
      <c r="K11" s="94" t="s">
        <v>35</v>
      </c>
      <c r="L11" s="101"/>
      <c r="M11" s="123" t="s">
        <v>11</v>
      </c>
      <c r="N11" s="124" t="s">
        <v>30</v>
      </c>
      <c r="O11" s="123" t="s">
        <v>1</v>
      </c>
      <c r="P11" s="123" t="s">
        <v>2</v>
      </c>
      <c r="Q11" s="123" t="s">
        <v>16</v>
      </c>
      <c r="R11" s="123" t="s">
        <v>17</v>
      </c>
      <c r="S11" s="123" t="s">
        <v>18</v>
      </c>
      <c r="T11" s="123" t="s">
        <v>19</v>
      </c>
      <c r="U11" s="123" t="s">
        <v>20</v>
      </c>
    </row>
    <row r="12" spans="2:21" ht="23.25" thickBot="1" x14ac:dyDescent="0.2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1" t="s">
        <v>97</v>
      </c>
      <c r="H12" s="15" t="s">
        <v>121</v>
      </c>
      <c r="I12" s="15" t="s">
        <v>168</v>
      </c>
      <c r="K12" s="94" t="s">
        <v>154</v>
      </c>
      <c r="L12" s="32"/>
      <c r="M12" s="125" t="s">
        <v>38</v>
      </c>
      <c r="N12" s="125" t="s">
        <v>31</v>
      </c>
      <c r="O12" s="125" t="s">
        <v>21</v>
      </c>
      <c r="P12" s="125" t="s">
        <v>22</v>
      </c>
      <c r="Q12" s="125" t="s">
        <v>23</v>
      </c>
      <c r="R12" s="125" t="s">
        <v>24</v>
      </c>
      <c r="S12" s="125" t="s">
        <v>43</v>
      </c>
      <c r="T12" s="125" t="s">
        <v>42</v>
      </c>
      <c r="U12" s="125" t="s">
        <v>25</v>
      </c>
    </row>
    <row r="13" spans="2:21" ht="13.5" thickBot="1" x14ac:dyDescent="0.25">
      <c r="B13" s="14" t="s">
        <v>90</v>
      </c>
      <c r="C13" s="14"/>
      <c r="D13" s="14"/>
      <c r="E13" s="12" t="s">
        <v>119</v>
      </c>
      <c r="F13" s="12"/>
      <c r="G13" s="71"/>
      <c r="H13" s="12" t="s">
        <v>156</v>
      </c>
      <c r="I13" s="12" t="s">
        <v>91</v>
      </c>
      <c r="K13" s="12"/>
      <c r="M13" s="125" t="s">
        <v>81</v>
      </c>
      <c r="N13" s="125"/>
      <c r="O13" s="125"/>
      <c r="P13" s="125"/>
      <c r="Q13" s="125"/>
      <c r="R13" s="125"/>
      <c r="S13" s="125"/>
      <c r="T13" s="125"/>
      <c r="U13" s="125"/>
    </row>
    <row r="14" spans="2:21" x14ac:dyDescent="0.2">
      <c r="B14" s="5" t="str">
        <f t="shared" ref="B14:B18" si="0">O14</f>
        <v>RSCEELC</v>
      </c>
      <c r="C14" s="5" t="str">
        <f t="shared" ref="C14:C18" si="1">$B$2&amp;RIGHT(B14,3)</f>
        <v>RSDELC</v>
      </c>
      <c r="D14" s="5" t="str">
        <f t="shared" ref="D14" si="2">$O$5</f>
        <v>DRSC</v>
      </c>
      <c r="E14" s="74">
        <f>'EB1'!$U$5*'EB1'!$U$21/(G14*H14)*1.01</f>
        <v>0.65044465799086759</v>
      </c>
      <c r="F14" s="102">
        <v>0.95</v>
      </c>
      <c r="G14" s="102">
        <v>0.3</v>
      </c>
      <c r="H14" s="103">
        <v>31.536000000000001</v>
      </c>
      <c r="I14" s="104">
        <v>15</v>
      </c>
      <c r="K14" s="150">
        <f t="shared" ref="K14:K16" si="3">E14*G14*H14</f>
        <v>6.1537268203200002</v>
      </c>
      <c r="M14" s="122" t="s">
        <v>95</v>
      </c>
      <c r="N14" s="126"/>
      <c r="O14" s="126" t="str">
        <f>LEFT($B$2)&amp;'EB1'!$C$21&amp;$I$2&amp;'EB1'!$U$2</f>
        <v>RSCEELC</v>
      </c>
      <c r="P14" s="126" t="str">
        <f>$D$2&amp;" "&amp;$C$2&amp; " Sector - "&amp;""&amp;$I$1&amp;" "&amp;'EB1'!$X$21&amp;" - "&amp;'EB1'!$U$3</f>
        <v>Demand Technologies Residential Sector - Existing Space Cooling - Electricity</v>
      </c>
      <c r="Q14" s="126" t="str">
        <f t="shared" ref="Q14:Q18" si="4">$E$2</f>
        <v>PJ</v>
      </c>
      <c r="R14" s="126" t="s">
        <v>119</v>
      </c>
      <c r="S14" s="126"/>
      <c r="T14" s="126"/>
      <c r="U14" s="126"/>
    </row>
    <row r="15" spans="2:21" x14ac:dyDescent="0.2">
      <c r="B15" s="105" t="str">
        <f t="shared" si="0"/>
        <v>RAPEELC</v>
      </c>
      <c r="C15" s="105" t="str">
        <f t="shared" si="1"/>
        <v>RSDELC</v>
      </c>
      <c r="D15" s="105" t="str">
        <f>$O$6</f>
        <v>DRAP</v>
      </c>
      <c r="E15" s="106">
        <f>'EB1'!$U$5*'EB1'!$U$22/(G15*H15)*1.01</f>
        <v>17.948369892599999</v>
      </c>
      <c r="F15" s="107">
        <v>1</v>
      </c>
      <c r="G15" s="107">
        <v>0.3</v>
      </c>
      <c r="H15" s="119">
        <v>1</v>
      </c>
      <c r="I15" s="108">
        <v>5</v>
      </c>
      <c r="K15" s="151">
        <f t="shared" si="3"/>
        <v>5.3845109677799998</v>
      </c>
      <c r="M15" s="122" t="s">
        <v>95</v>
      </c>
      <c r="N15" s="129"/>
      <c r="O15" s="129" t="str">
        <f>LEFT($B$2)&amp;'EB1'!$C$22&amp;$I$2&amp;'EB1'!$U$2</f>
        <v>RAPEELC</v>
      </c>
      <c r="P15" s="129" t="str">
        <f>$D$2&amp;" "&amp;$C$2&amp; " Sector - "&amp;""&amp;$I$1&amp;" "&amp;'EB1'!$X$22&amp;" - "&amp;'EB1'!$U$3</f>
        <v>Demand Technologies Residential Sector - Existing Appliancens - Electricity</v>
      </c>
      <c r="Q15" s="129" t="str">
        <f t="shared" si="4"/>
        <v>PJ</v>
      </c>
      <c r="R15" s="129" t="str">
        <f t="shared" ref="R15:R18" si="5">$E$2&amp;"a"</f>
        <v>PJa</v>
      </c>
      <c r="S15" s="129"/>
      <c r="T15" s="129"/>
      <c r="U15" s="129"/>
    </row>
    <row r="16" spans="2:21" x14ac:dyDescent="0.2">
      <c r="B16" t="str">
        <f t="shared" si="0"/>
        <v>ROTEOIL</v>
      </c>
      <c r="C16" t="str">
        <f t="shared" si="1"/>
        <v>RSDOIL</v>
      </c>
      <c r="D16" t="str">
        <f>$O$7</f>
        <v>DROT</v>
      </c>
      <c r="E16" s="60">
        <f>SUM('EB1'!$G$5:$J$5,'EB1'!$L$5:$M$5)*'EB1'!$I$23/(G16*H16)*1.01</f>
        <v>29.554160652000004</v>
      </c>
      <c r="F16" s="64">
        <v>1</v>
      </c>
      <c r="G16" s="64">
        <v>0.3</v>
      </c>
      <c r="H16" s="120">
        <v>1</v>
      </c>
      <c r="I16" s="39">
        <v>10</v>
      </c>
      <c r="K16" s="149">
        <f t="shared" si="3"/>
        <v>8.8662481956000008</v>
      </c>
      <c r="M16" s="122" t="s">
        <v>95</v>
      </c>
      <c r="N16" s="126"/>
      <c r="O16" s="126" t="str">
        <f>LEFT($B$2)&amp;'EB1'!$C$23&amp;$I$2&amp;'EB1'!$F$2</f>
        <v>ROTEOIL</v>
      </c>
      <c r="P16" s="126" t="str">
        <f>$D$2&amp;" "&amp;$C$2&amp; " Sector - "&amp;""&amp;$I$1&amp;" "&amp;'EB1'!$X$23&amp;" - "&amp;RIGHT('EB1'!$F$3,3)</f>
        <v>Demand Technologies Residential Sector - Existing Other - Oil</v>
      </c>
      <c r="Q16" s="126" t="str">
        <f t="shared" si="4"/>
        <v>PJ</v>
      </c>
      <c r="R16" s="126" t="str">
        <f t="shared" si="5"/>
        <v>PJa</v>
      </c>
      <c r="S16" s="126"/>
      <c r="T16" s="126"/>
      <c r="U16" s="126"/>
    </row>
    <row r="17" spans="2:21" x14ac:dyDescent="0.2">
      <c r="B17" t="str">
        <f t="shared" si="0"/>
        <v>ROTEBIO</v>
      </c>
      <c r="C17" t="str">
        <f>$B$2&amp;RIGHT(B17,3)</f>
        <v>RSDBIO</v>
      </c>
      <c r="D17" t="str">
        <f>$O$7</f>
        <v>DROT</v>
      </c>
      <c r="E17" s="60">
        <f>'EB1'!$O$5*'EB1'!$O$23/(G17*H17)*1.01</f>
        <v>99.673933428000012</v>
      </c>
      <c r="F17" s="64">
        <v>1</v>
      </c>
      <c r="G17" s="64">
        <v>0.3</v>
      </c>
      <c r="H17" s="120">
        <v>1</v>
      </c>
      <c r="I17" s="39">
        <v>10</v>
      </c>
      <c r="K17" s="149">
        <f>E17*G17*H17</f>
        <v>29.902180028400004</v>
      </c>
      <c r="M17" s="122" t="s">
        <v>95</v>
      </c>
      <c r="N17" s="126"/>
      <c r="O17" s="126" t="str">
        <f>LEFT($B$2)&amp;'EB1'!$C$23&amp;$I$2&amp;'EB1'!$O$2</f>
        <v>ROTEBIO</v>
      </c>
      <c r="P17" s="126" t="str">
        <f>$D$2&amp;" "&amp;$C$2&amp; " Sector - "&amp;""&amp;$I$1&amp;" "&amp;'EB1'!$X$23&amp;" - "&amp;'EB1'!$O$3</f>
        <v>Demand Technologies Residential Sector - Existing Other - Biomass</v>
      </c>
      <c r="Q17" s="126" t="str">
        <f t="shared" si="4"/>
        <v>PJ</v>
      </c>
      <c r="R17" s="126" t="str">
        <f t="shared" si="5"/>
        <v>PJa</v>
      </c>
      <c r="S17" s="126"/>
      <c r="T17" s="126"/>
      <c r="U17" s="126"/>
    </row>
    <row r="18" spans="2:21" x14ac:dyDescent="0.2">
      <c r="B18" t="str">
        <f t="shared" si="0"/>
        <v>ROTEELC</v>
      </c>
      <c r="C18" t="str">
        <f t="shared" si="1"/>
        <v>RSDELC</v>
      </c>
      <c r="D18" t="str">
        <f>$O$7</f>
        <v>DROT</v>
      </c>
      <c r="E18" s="60">
        <f>'EB1'!$U$5*'EB1'!$U$23/(G18*H18)*1.01</f>
        <v>12.820264209000001</v>
      </c>
      <c r="F18" s="64">
        <v>1</v>
      </c>
      <c r="G18" s="64">
        <v>0.3</v>
      </c>
      <c r="H18" s="120">
        <v>1</v>
      </c>
      <c r="I18" s="39">
        <v>10</v>
      </c>
      <c r="K18" s="149">
        <f>E18*G18*H18</f>
        <v>3.8460792627</v>
      </c>
      <c r="M18" s="122" t="s">
        <v>95</v>
      </c>
      <c r="N18" s="126"/>
      <c r="O18" s="126" t="str">
        <f>LEFT($B$2)&amp;'EB1'!$C$23&amp;$I$2&amp;'EB1'!$U$2</f>
        <v>ROTEELC</v>
      </c>
      <c r="P18" s="126" t="str">
        <f>$D$2&amp;" "&amp;$C$2&amp; " Sector - "&amp;""&amp;$I$1&amp;" "&amp;'EB1'!$X$23&amp;" - "&amp;'EB1'!$U$3</f>
        <v>Demand Technologies Residential Sector - Existing Other - Electricity</v>
      </c>
      <c r="Q18" s="126" t="str">
        <f t="shared" si="4"/>
        <v>PJ</v>
      </c>
      <c r="R18" s="126" t="str">
        <f t="shared" si="5"/>
        <v>PJa</v>
      </c>
      <c r="S18" s="126"/>
      <c r="T18" s="126"/>
      <c r="U18" s="126"/>
    </row>
    <row r="19" spans="2:21" x14ac:dyDescent="0.2">
      <c r="E19" s="6"/>
      <c r="F19" s="16"/>
      <c r="G19" s="16"/>
      <c r="H19" s="16"/>
    </row>
    <row r="20" spans="2:21" x14ac:dyDescent="0.2">
      <c r="E20" s="6"/>
      <c r="F20" s="16"/>
      <c r="G20" s="16"/>
      <c r="H20" s="16"/>
      <c r="P20" s="19"/>
    </row>
    <row r="21" spans="2:21" x14ac:dyDescent="0.2">
      <c r="E21" s="6"/>
      <c r="F21" s="16"/>
      <c r="G21" s="16"/>
      <c r="H21" s="16"/>
      <c r="P21" s="19"/>
    </row>
    <row r="22" spans="2:21" x14ac:dyDescent="0.2">
      <c r="E22" s="6"/>
      <c r="F22" s="16"/>
      <c r="G22" s="16"/>
      <c r="H22" s="16"/>
      <c r="P22" s="19"/>
    </row>
    <row r="24" spans="2:21" x14ac:dyDescent="0.2">
      <c r="G24" s="1"/>
    </row>
    <row r="25" spans="2:21" x14ac:dyDescent="0.2">
      <c r="G25" s="1"/>
    </row>
    <row r="30" spans="2:21" x14ac:dyDescent="0.2">
      <c r="B30" s="39"/>
      <c r="C30" s="1" t="s">
        <v>149</v>
      </c>
    </row>
    <row r="31" spans="2:21" x14ac:dyDescent="0.2">
      <c r="B31" s="61"/>
      <c r="C31" s="1" t="s">
        <v>150</v>
      </c>
    </row>
    <row r="32" spans="2:21" x14ac:dyDescent="0.2">
      <c r="J32" s="1"/>
      <c r="K32" s="1"/>
      <c r="L32" s="1"/>
    </row>
    <row r="33" spans="10:12" x14ac:dyDescent="0.2">
      <c r="J33" s="1"/>
      <c r="K33" s="1"/>
      <c r="L33" s="1"/>
    </row>
    <row r="34" spans="10:12" x14ac:dyDescent="0.2">
      <c r="J34" s="1"/>
      <c r="K34" s="1"/>
      <c r="L34" s="1"/>
    </row>
    <row r="35" spans="10:12" x14ac:dyDescent="0.2">
      <c r="J35" s="1"/>
      <c r="K35" s="1"/>
      <c r="L35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topLeftCell="A10" workbookViewId="0">
      <selection activeCell="N23" sqref="N23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28515625" customWidth="1"/>
    <col min="6" max="6" width="2" bestFit="1" customWidth="1"/>
    <col min="7" max="7" width="11.42578125" bestFit="1" customWidth="1"/>
    <col min="8" max="8" width="13.5703125" customWidth="1"/>
    <col min="9" max="9" width="10.28515625" customWidth="1"/>
  </cols>
  <sheetData>
    <row r="1" spans="2:11" ht="15" x14ac:dyDescent="0.25">
      <c r="B1" s="7" t="s">
        <v>73</v>
      </c>
      <c r="C1" s="7" t="s">
        <v>74</v>
      </c>
      <c r="D1" s="7" t="s">
        <v>75</v>
      </c>
      <c r="E1" s="7" t="s">
        <v>77</v>
      </c>
    </row>
    <row r="2" spans="2:11" ht="15.75" x14ac:dyDescent="0.25">
      <c r="B2" s="9" t="s">
        <v>83</v>
      </c>
      <c r="C2" s="9"/>
      <c r="D2" s="9"/>
      <c r="E2" s="9" t="str">
        <f>'EB1'!Z2</f>
        <v>PJ</v>
      </c>
    </row>
    <row r="5" spans="2:11" x14ac:dyDescent="0.2">
      <c r="C5" s="3" t="s">
        <v>13</v>
      </c>
      <c r="D5" s="3"/>
      <c r="E5" s="1"/>
      <c r="I5" s="3" t="s">
        <v>13</v>
      </c>
      <c r="J5" s="1"/>
    </row>
    <row r="6" spans="2:11" x14ac:dyDescent="0.2">
      <c r="B6" s="2" t="s">
        <v>80</v>
      </c>
      <c r="C6" s="2" t="s">
        <v>0</v>
      </c>
      <c r="D6" s="2" t="s">
        <v>143</v>
      </c>
      <c r="E6" s="73">
        <v>2021</v>
      </c>
      <c r="G6" s="2" t="s">
        <v>80</v>
      </c>
      <c r="H6" s="2" t="s">
        <v>0</v>
      </c>
      <c r="I6" s="2" t="s">
        <v>122</v>
      </c>
      <c r="J6" s="2">
        <v>2021</v>
      </c>
    </row>
    <row r="7" spans="2:11" ht="22.5" x14ac:dyDescent="0.2">
      <c r="B7" s="15" t="s">
        <v>81</v>
      </c>
      <c r="C7" s="15" t="s">
        <v>82</v>
      </c>
      <c r="D7" s="15" t="s">
        <v>144</v>
      </c>
      <c r="E7" s="70" t="s">
        <v>36</v>
      </c>
      <c r="G7" s="15" t="s">
        <v>81</v>
      </c>
      <c r="H7" s="15" t="s">
        <v>82</v>
      </c>
      <c r="I7" s="15"/>
      <c r="J7" s="15"/>
    </row>
    <row r="8" spans="2:11" ht="13.5" thickBot="1" x14ac:dyDescent="0.25">
      <c r="B8" s="14" t="s">
        <v>90</v>
      </c>
      <c r="C8" s="14"/>
      <c r="D8" s="14"/>
      <c r="E8" s="12" t="str">
        <f>E2</f>
        <v>PJ</v>
      </c>
      <c r="G8" s="14" t="s">
        <v>90</v>
      </c>
      <c r="H8" s="14"/>
      <c r="I8" s="14"/>
      <c r="J8" s="15"/>
    </row>
    <row r="9" spans="2:11" x14ac:dyDescent="0.2">
      <c r="B9" s="25" t="s">
        <v>35</v>
      </c>
      <c r="C9" s="1" t="str">
        <f>DemTechs_RSD!$O$5</f>
        <v>DRSC</v>
      </c>
      <c r="D9" s="25" t="s">
        <v>76</v>
      </c>
      <c r="E9" s="112">
        <f>SUM(DemTechs_RSD!K14:K14)</f>
        <v>6.1537268203200002</v>
      </c>
      <c r="G9" s="1" t="s">
        <v>123</v>
      </c>
      <c r="H9" s="1" t="str">
        <f>DemTechs_RSD!$O$5</f>
        <v>DRSC</v>
      </c>
      <c r="I9" s="137" t="s">
        <v>171</v>
      </c>
      <c r="J9" s="139">
        <v>0.15</v>
      </c>
    </row>
    <row r="10" spans="2:11" x14ac:dyDescent="0.2">
      <c r="B10" t="s">
        <v>35</v>
      </c>
      <c r="C10" s="1" t="str">
        <f>DemTechs_RSD!$O$6</f>
        <v>DRAP</v>
      </c>
      <c r="D10" s="1" t="s">
        <v>76</v>
      </c>
      <c r="E10" s="112">
        <f>SUM(DemTechs_RSD!K15)</f>
        <v>5.3845109677799998</v>
      </c>
      <c r="G10" s="1" t="s">
        <v>123</v>
      </c>
      <c r="H10" s="1" t="str">
        <f>DemTechs_RSD!$O$5</f>
        <v>DRSC</v>
      </c>
      <c r="I10" s="137" t="s">
        <v>172</v>
      </c>
      <c r="J10" s="140">
        <v>0.45</v>
      </c>
    </row>
    <row r="11" spans="2:11" x14ac:dyDescent="0.2">
      <c r="B11" s="5" t="s">
        <v>35</v>
      </c>
      <c r="C11" s="1" t="str">
        <f>DemTechs_RSD!$O$7</f>
        <v>DROT</v>
      </c>
      <c r="D11" s="26" t="s">
        <v>76</v>
      </c>
      <c r="E11" s="113">
        <f>SUM(DemTechs_RSD!K16:K18)</f>
        <v>42.614507486700006</v>
      </c>
      <c r="G11" s="1" t="s">
        <v>123</v>
      </c>
      <c r="H11" s="1" t="str">
        <f>DemTechs_RSD!$O$5</f>
        <v>DRSC</v>
      </c>
      <c r="I11" s="137" t="s">
        <v>173</v>
      </c>
      <c r="J11" s="140">
        <v>0.1</v>
      </c>
    </row>
    <row r="12" spans="2:11" x14ac:dyDescent="0.2">
      <c r="B12" s="1" t="s">
        <v>35</v>
      </c>
      <c r="C12" s="142" t="str">
        <f>DemTechs_COM!$O$5</f>
        <v>DCSC</v>
      </c>
      <c r="D12" s="1" t="s">
        <v>76</v>
      </c>
      <c r="E12" s="112">
        <f>SUM(DemTechs_COM!K14:K15)</f>
        <v>6.6512296105200015</v>
      </c>
      <c r="G12" s="26" t="s">
        <v>123</v>
      </c>
      <c r="H12" s="26" t="str">
        <f>DemTechs_RSD!$O$5</f>
        <v>DRSC</v>
      </c>
      <c r="I12" s="138" t="s">
        <v>174</v>
      </c>
      <c r="J12" s="141">
        <v>0.3</v>
      </c>
    </row>
    <row r="13" spans="2:11" x14ac:dyDescent="0.2">
      <c r="B13" t="s">
        <v>35</v>
      </c>
      <c r="C13" s="1" t="str">
        <f>DemTechs_COM!$O$6</f>
        <v>DCAP</v>
      </c>
      <c r="D13" s="1" t="s">
        <v>76</v>
      </c>
      <c r="E13" s="112">
        <f>SUM(DemTechs_COM!K16)</f>
        <v>3.0232861866000005</v>
      </c>
      <c r="G13" s="1" t="s">
        <v>123</v>
      </c>
      <c r="H13" s="1" t="str">
        <f>DemTechs_RSD!$O$6</f>
        <v>DRAP</v>
      </c>
      <c r="I13" s="137" t="s">
        <v>171</v>
      </c>
      <c r="J13" s="139">
        <v>0.2</v>
      </c>
    </row>
    <row r="14" spans="2:11" x14ac:dyDescent="0.2">
      <c r="B14" s="5" t="s">
        <v>35</v>
      </c>
      <c r="C14" s="26" t="str">
        <f>DemTechs_COM!$O$7</f>
        <v>DCOT</v>
      </c>
      <c r="D14" s="26" t="s">
        <v>76</v>
      </c>
      <c r="E14" s="113">
        <f>SUM(DemTechs_COM!K17:K18)</f>
        <v>7.8517907423999995</v>
      </c>
      <c r="G14" s="1" t="s">
        <v>123</v>
      </c>
      <c r="H14" s="1" t="str">
        <f>DemTechs_RSD!$O$6</f>
        <v>DRAP</v>
      </c>
      <c r="I14" s="137" t="s">
        <v>172</v>
      </c>
      <c r="J14" s="140">
        <v>0.35</v>
      </c>
    </row>
    <row r="15" spans="2:11" x14ac:dyDescent="0.2">
      <c r="B15" s="5" t="s">
        <v>35</v>
      </c>
      <c r="C15" s="26" t="str">
        <f>DemTechs_AGR!P5</f>
        <v>PJ</v>
      </c>
      <c r="D15" s="26" t="s">
        <v>76</v>
      </c>
      <c r="E15" s="114">
        <f>DemTechs_AGR!L15</f>
        <v>0</v>
      </c>
      <c r="G15" s="1" t="s">
        <v>123</v>
      </c>
      <c r="H15" s="1" t="str">
        <f>DemTechs_RSD!$O$6</f>
        <v>DRAP</v>
      </c>
      <c r="I15" s="137" t="s">
        <v>173</v>
      </c>
      <c r="J15" s="140">
        <v>0.15</v>
      </c>
      <c r="K15" s="16"/>
    </row>
    <row r="16" spans="2:11" x14ac:dyDescent="0.2">
      <c r="B16" s="5" t="s">
        <v>35</v>
      </c>
      <c r="C16" s="26" t="str">
        <f>DemTechs_AGR!P6</f>
        <v>kt</v>
      </c>
      <c r="D16" s="26" t="s">
        <v>76</v>
      </c>
      <c r="E16" s="114">
        <f>DemTechs_AGR!L14</f>
        <v>0</v>
      </c>
      <c r="G16" s="26" t="s">
        <v>123</v>
      </c>
      <c r="H16" s="26" t="str">
        <f>DemTechs_RSD!$O$6</f>
        <v>DRAP</v>
      </c>
      <c r="I16" s="138" t="s">
        <v>174</v>
      </c>
      <c r="J16" s="141">
        <v>0.3</v>
      </c>
    </row>
    <row r="17" spans="2:10" x14ac:dyDescent="0.2">
      <c r="B17" s="5" t="s">
        <v>35</v>
      </c>
      <c r="C17" s="26">
        <f>DemTechs_AGR!P7</f>
        <v>0</v>
      </c>
      <c r="D17" s="26" t="s">
        <v>76</v>
      </c>
      <c r="E17" s="107">
        <f>DemTechs_AGR!L16</f>
        <v>0</v>
      </c>
      <c r="G17" s="1" t="s">
        <v>123</v>
      </c>
      <c r="H17" s="1" t="str">
        <f>DemTechs_RSD!$O$7</f>
        <v>DROT</v>
      </c>
      <c r="I17" s="137" t="s">
        <v>171</v>
      </c>
      <c r="J17" s="139">
        <v>0.1</v>
      </c>
    </row>
    <row r="18" spans="2:10" x14ac:dyDescent="0.2">
      <c r="G18" s="1" t="s">
        <v>123</v>
      </c>
      <c r="H18" s="1" t="str">
        <f>DemTechs_RSD!$O$7</f>
        <v>DROT</v>
      </c>
      <c r="I18" s="137" t="s">
        <v>172</v>
      </c>
      <c r="J18" s="140">
        <v>0.45</v>
      </c>
    </row>
    <row r="19" spans="2:10" x14ac:dyDescent="0.2">
      <c r="G19" s="1" t="s">
        <v>123</v>
      </c>
      <c r="H19" s="1" t="str">
        <f>DemTechs_RSD!$O$7</f>
        <v>DROT</v>
      </c>
      <c r="I19" s="137" t="s">
        <v>173</v>
      </c>
      <c r="J19" s="140">
        <v>0.1</v>
      </c>
    </row>
    <row r="20" spans="2:10" x14ac:dyDescent="0.2">
      <c r="G20" s="26" t="s">
        <v>123</v>
      </c>
      <c r="H20" s="26" t="str">
        <f>DemTechs_RSD!$O$7</f>
        <v>DROT</v>
      </c>
      <c r="I20" s="138" t="s">
        <v>174</v>
      </c>
      <c r="J20" s="141">
        <v>0.35</v>
      </c>
    </row>
    <row r="21" spans="2:10" x14ac:dyDescent="0.2">
      <c r="G21" s="1" t="s">
        <v>123</v>
      </c>
      <c r="H21" s="1" t="str">
        <f>DemTechs_COM!$O$5</f>
        <v>DCSC</v>
      </c>
      <c r="I21" s="137" t="s">
        <v>171</v>
      </c>
      <c r="J21" s="139">
        <v>0.5</v>
      </c>
    </row>
    <row r="22" spans="2:10" x14ac:dyDescent="0.2">
      <c r="G22" s="1" t="s">
        <v>123</v>
      </c>
      <c r="H22" s="1" t="str">
        <f>DemTechs_COM!$O$5</f>
        <v>DCSC</v>
      </c>
      <c r="I22" s="137" t="s">
        <v>172</v>
      </c>
      <c r="J22" s="140">
        <v>0.1</v>
      </c>
    </row>
    <row r="23" spans="2:10" x14ac:dyDescent="0.2">
      <c r="G23" s="1" t="s">
        <v>123</v>
      </c>
      <c r="H23" s="1" t="str">
        <f>DemTechs_COM!$O$5</f>
        <v>DCSC</v>
      </c>
      <c r="I23" s="137" t="s">
        <v>173</v>
      </c>
      <c r="J23" s="140">
        <v>0.35</v>
      </c>
    </row>
    <row r="24" spans="2:10" x14ac:dyDescent="0.2">
      <c r="G24" s="26" t="s">
        <v>123</v>
      </c>
      <c r="H24" s="26" t="str">
        <f>DemTechs_COM!$O$5</f>
        <v>DCSC</v>
      </c>
      <c r="I24" s="138" t="s">
        <v>174</v>
      </c>
      <c r="J24" s="141">
        <v>0.05</v>
      </c>
    </row>
    <row r="25" spans="2:10" x14ac:dyDescent="0.2">
      <c r="G25" s="1" t="s">
        <v>123</v>
      </c>
      <c r="H25" s="1" t="str">
        <f>DemTechs_COM!$O$6</f>
        <v>DCAP</v>
      </c>
      <c r="I25" s="137" t="s">
        <v>171</v>
      </c>
      <c r="J25" s="139">
        <v>0.4</v>
      </c>
    </row>
    <row r="26" spans="2:10" x14ac:dyDescent="0.2">
      <c r="G26" s="1" t="s">
        <v>123</v>
      </c>
      <c r="H26" s="1" t="str">
        <f>DemTechs_COM!$O$6</f>
        <v>DCAP</v>
      </c>
      <c r="I26" s="137" t="s">
        <v>172</v>
      </c>
      <c r="J26" s="140">
        <v>0.1</v>
      </c>
    </row>
    <row r="27" spans="2:10" x14ac:dyDescent="0.2">
      <c r="G27" s="1" t="s">
        <v>123</v>
      </c>
      <c r="H27" s="1" t="str">
        <f>DemTechs_COM!$O$6</f>
        <v>DCAP</v>
      </c>
      <c r="I27" s="137" t="s">
        <v>173</v>
      </c>
      <c r="J27" s="140">
        <v>0.4</v>
      </c>
    </row>
    <row r="28" spans="2:10" x14ac:dyDescent="0.2">
      <c r="G28" s="26" t="s">
        <v>123</v>
      </c>
      <c r="H28" s="26" t="str">
        <f>DemTechs_COM!$O$6</f>
        <v>DCAP</v>
      </c>
      <c r="I28" s="138" t="s">
        <v>174</v>
      </c>
      <c r="J28" s="141">
        <v>0.1</v>
      </c>
    </row>
    <row r="29" spans="2:10" x14ac:dyDescent="0.2">
      <c r="G29" s="1" t="s">
        <v>123</v>
      </c>
      <c r="H29" s="1" t="str">
        <f>DemTechs_COM!$O$7</f>
        <v>DCOT</v>
      </c>
      <c r="I29" s="137" t="s">
        <v>171</v>
      </c>
      <c r="J29" s="139">
        <v>0.45</v>
      </c>
    </row>
    <row r="30" spans="2:10" x14ac:dyDescent="0.2">
      <c r="B30" s="39"/>
      <c r="C30" s="1" t="s">
        <v>149</v>
      </c>
      <c r="G30" s="1" t="s">
        <v>123</v>
      </c>
      <c r="H30" s="1" t="str">
        <f>DemTechs_COM!$O$7</f>
        <v>DCOT</v>
      </c>
      <c r="I30" s="137" t="s">
        <v>172</v>
      </c>
      <c r="J30" s="140">
        <v>0.05</v>
      </c>
    </row>
    <row r="31" spans="2:10" x14ac:dyDescent="0.2">
      <c r="B31" s="61"/>
      <c r="C31" s="1" t="s">
        <v>150</v>
      </c>
      <c r="G31" s="1" t="s">
        <v>123</v>
      </c>
      <c r="H31" s="1" t="str">
        <f>DemTechs_COM!$O$7</f>
        <v>DCOT</v>
      </c>
      <c r="I31" s="137" t="s">
        <v>173</v>
      </c>
      <c r="J31" s="140">
        <v>0.45</v>
      </c>
    </row>
    <row r="32" spans="2:10" x14ac:dyDescent="0.2">
      <c r="G32" s="26" t="s">
        <v>123</v>
      </c>
      <c r="H32" s="26" t="str">
        <f>DemTechs_COM!$O$7</f>
        <v>DCOT</v>
      </c>
      <c r="I32" s="138" t="s">
        <v>174</v>
      </c>
      <c r="J32" s="141">
        <v>0.05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R24"/>
  <sheetViews>
    <sheetView topLeftCell="B1" workbookViewId="0">
      <selection activeCell="F6" sqref="F6"/>
    </sheetView>
  </sheetViews>
  <sheetFormatPr defaultRowHeight="12.75" x14ac:dyDescent="0.2"/>
  <cols>
    <col min="2" max="2" width="14.42578125" customWidth="1"/>
    <col min="4" max="4" width="8.85546875" bestFit="1" customWidth="1"/>
    <col min="8" max="8" width="12.140625" bestFit="1" customWidth="1"/>
    <col min="9" max="10" width="9.28515625" bestFit="1" customWidth="1"/>
    <col min="11" max="11" width="8.42578125" bestFit="1" customWidth="1"/>
    <col min="12" max="12" width="8.42578125" customWidth="1"/>
    <col min="14" max="14" width="12.140625" bestFit="1" customWidth="1"/>
    <col min="15" max="16" width="9" bestFit="1" customWidth="1"/>
    <col min="17" max="17" width="8.140625" bestFit="1" customWidth="1"/>
  </cols>
  <sheetData>
    <row r="3" spans="2:18" ht="17.45" customHeight="1" x14ac:dyDescent="0.25">
      <c r="B3" s="29" t="s">
        <v>155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2:18" ht="17.45" customHeight="1" x14ac:dyDescent="0.25">
      <c r="B4" s="30"/>
      <c r="C4" s="30"/>
      <c r="D4" s="30"/>
      <c r="E4" s="30"/>
      <c r="F4" s="30"/>
      <c r="G4" s="30"/>
      <c r="H4" s="30"/>
    </row>
    <row r="5" spans="2:18" x14ac:dyDescent="0.2">
      <c r="B5" s="28" t="s">
        <v>142</v>
      </c>
      <c r="H5" s="28" t="s">
        <v>142</v>
      </c>
      <c r="N5" s="28" t="s">
        <v>142</v>
      </c>
    </row>
    <row r="6" spans="2:18" ht="13.5" thickBot="1" x14ac:dyDescent="0.25">
      <c r="B6" s="31" t="s">
        <v>0</v>
      </c>
      <c r="C6" s="111" t="str">
        <f>Sector_Fuels_AGR!$L$5</f>
        <v>AGRCOA</v>
      </c>
      <c r="D6" s="111" t="str">
        <f>Sector_Fuels_AGR!$L$6</f>
        <v>AGRGAS</v>
      </c>
      <c r="E6" s="111" t="str">
        <f>Sector_Fuels_AGR!$L$7</f>
        <v>AGROIL</v>
      </c>
      <c r="F6" s="111" t="s">
        <v>177</v>
      </c>
      <c r="G6" s="1"/>
      <c r="H6" s="31" t="s">
        <v>0</v>
      </c>
      <c r="I6" s="111" t="str">
        <f>Sector_Fuels_COM!$L$5</f>
        <v>COMCOA</v>
      </c>
      <c r="J6" s="111" t="str">
        <f>Sector_Fuels_COM!$L$6</f>
        <v>COMGAS</v>
      </c>
      <c r="K6" s="111" t="str">
        <f>Sector_Fuels_COM!$L$7</f>
        <v>COMOIL</v>
      </c>
      <c r="L6" s="111" t="s">
        <v>178</v>
      </c>
      <c r="N6" s="31" t="s">
        <v>0</v>
      </c>
      <c r="O6" s="111" t="str">
        <f>Sector_Fuels_RSD!$L$5</f>
        <v>RSDCOA</v>
      </c>
      <c r="P6" s="111" t="str">
        <f>Sector_Fuels_RSD!$L$6</f>
        <v>RSDGAS</v>
      </c>
      <c r="Q6" s="111" t="str">
        <f>Sector_Fuels_RSD!$L$7</f>
        <v>RSDOIL</v>
      </c>
      <c r="R6" s="111" t="s">
        <v>179</v>
      </c>
    </row>
    <row r="7" spans="2:18" ht="13.5" thickBot="1" x14ac:dyDescent="0.25">
      <c r="B7" s="14" t="s">
        <v>90</v>
      </c>
      <c r="C7" s="14" t="s">
        <v>148</v>
      </c>
      <c r="D7" s="14" t="s">
        <v>148</v>
      </c>
      <c r="E7" s="14" t="s">
        <v>148</v>
      </c>
      <c r="F7" s="14" t="s">
        <v>148</v>
      </c>
      <c r="G7" s="1"/>
      <c r="H7" s="14" t="s">
        <v>90</v>
      </c>
      <c r="I7" s="14" t="s">
        <v>148</v>
      </c>
      <c r="J7" s="14" t="s">
        <v>148</v>
      </c>
      <c r="K7" s="14" t="s">
        <v>148</v>
      </c>
      <c r="L7" s="14" t="s">
        <v>148</v>
      </c>
      <c r="N7" s="14" t="s">
        <v>90</v>
      </c>
      <c r="O7" s="14" t="s">
        <v>148</v>
      </c>
      <c r="P7" s="14" t="s">
        <v>148</v>
      </c>
      <c r="Q7" s="14" t="s">
        <v>148</v>
      </c>
      <c r="R7" s="14" t="s">
        <v>148</v>
      </c>
    </row>
    <row r="8" spans="2:18" x14ac:dyDescent="0.2">
      <c r="B8">
        <f>DemTechs_AGR!$P8</f>
        <v>0</v>
      </c>
      <c r="C8" s="64">
        <v>95</v>
      </c>
      <c r="D8" s="64">
        <v>56.1</v>
      </c>
      <c r="E8" s="64">
        <v>76.400000000000006</v>
      </c>
      <c r="F8" s="64">
        <v>112</v>
      </c>
      <c r="G8" s="1"/>
      <c r="H8" t="str">
        <f>DemTechs_COM!$O$8</f>
        <v>COMCO2</v>
      </c>
      <c r="I8" s="64">
        <v>95</v>
      </c>
      <c r="J8" s="64">
        <v>56.1</v>
      </c>
      <c r="K8" s="64">
        <v>76.400000000000006</v>
      </c>
      <c r="L8" s="64">
        <v>112</v>
      </c>
      <c r="N8" t="str">
        <f>DemTechs_RSD!$O$8</f>
        <v>RSDCO2</v>
      </c>
      <c r="O8" s="64">
        <v>95</v>
      </c>
      <c r="P8" s="64">
        <v>56.1</v>
      </c>
      <c r="Q8" s="64">
        <v>76.400000000000006</v>
      </c>
      <c r="R8" s="64">
        <v>112</v>
      </c>
    </row>
    <row r="23" spans="2:3" x14ac:dyDescent="0.2">
      <c r="B23" s="39"/>
      <c r="C23" s="1" t="s">
        <v>149</v>
      </c>
    </row>
    <row r="24" spans="2:3" x14ac:dyDescent="0.2">
      <c r="B24" s="61"/>
      <c r="C24" s="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2026-10-15T05:03:51Z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893209338188171</vt:r8>
  </property>
</Properties>
</file>