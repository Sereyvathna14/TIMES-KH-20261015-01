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5\"/>
    </mc:Choice>
  </mc:AlternateContent>
  <xr:revisionPtr revIDLastSave="0" documentId="13_ncr:1_{7C486514-0DCD-4E0E-9F6D-9D4828F59558}" xr6:coauthVersionLast="47" xr6:coauthVersionMax="47" xr10:uidLastSave="{00000000-0000-0000-0000-000000000000}"/>
  <bookViews>
    <workbookView xWindow="28680" yWindow="-120" windowWidth="20730" windowHeight="11040" tabRatio="901" activeTab="3" xr2:uid="{00000000-000D-0000-FFFF-FFFF00000000}"/>
  </bookViews>
  <sheets>
    <sheet name="EB1" sheetId="133" r:id="rId1"/>
    <sheet name="RES_TRA" sheetId="135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52" l="1"/>
  <c r="D21" i="152"/>
  <c r="N9" i="152"/>
  <c r="M9" i="152"/>
  <c r="M34" i="133"/>
  <c r="H34" i="133"/>
  <c r="I34" i="133"/>
  <c r="J34" i="133"/>
  <c r="G34" i="133"/>
  <c r="T29" i="141"/>
  <c r="T31" i="141"/>
  <c r="T30" i="141"/>
  <c r="T25" i="141"/>
  <c r="T28" i="141"/>
  <c r="T27" i="141" l="1"/>
  <c r="T26" i="141"/>
  <c r="T24" i="14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E29" i="141" s="1"/>
  <c r="I9" i="133"/>
  <c r="J9" i="133"/>
  <c r="E24" i="141" s="1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F2" i="152"/>
  <c r="E2" i="152"/>
  <c r="N12" i="152" s="1"/>
  <c r="T23" i="141"/>
  <c r="T22" i="141"/>
  <c r="E2" i="134"/>
  <c r="E8" i="134" s="1"/>
  <c r="S13" i="141"/>
  <c r="C2" i="152"/>
  <c r="M12" i="152" s="1"/>
  <c r="B2" i="152"/>
  <c r="L12" i="152" s="1"/>
  <c r="T21" i="141"/>
  <c r="T20" i="141"/>
  <c r="T19" i="141"/>
  <c r="E18" i="141"/>
  <c r="E2" i="141"/>
  <c r="C2" i="141"/>
  <c r="R25" i="141" s="1"/>
  <c r="B2" i="141"/>
  <c r="Q25" i="141" s="1"/>
  <c r="F2" i="141"/>
  <c r="I18" i="141" s="1"/>
  <c r="G2" i="134"/>
  <c r="E19" i="141" l="1"/>
  <c r="M19" i="141" s="1"/>
  <c r="E25" i="141"/>
  <c r="M25" i="141" s="1"/>
  <c r="R29" i="141"/>
  <c r="E31" i="141"/>
  <c r="M31" i="141" s="1"/>
  <c r="E30" i="141"/>
  <c r="M30" i="141" s="1"/>
  <c r="E28" i="141"/>
  <c r="M28" i="141" s="1"/>
  <c r="E23" i="141"/>
  <c r="M23" i="141" s="1"/>
  <c r="E21" i="141"/>
  <c r="M21" i="141" s="1"/>
  <c r="E20" i="141"/>
  <c r="M20" i="141" s="1"/>
  <c r="M29" i="141"/>
  <c r="Q31" i="141"/>
  <c r="B31" i="141" s="1"/>
  <c r="C31" i="141" s="1"/>
  <c r="Q30" i="141"/>
  <c r="B30" i="141" s="1"/>
  <c r="C30" i="141" s="1"/>
  <c r="B25" i="141"/>
  <c r="C25" i="141" s="1"/>
  <c r="Q29" i="141"/>
  <c r="B29" i="141" s="1"/>
  <c r="C29" i="141" s="1"/>
  <c r="Q28" i="141"/>
  <c r="B28" i="141" s="1"/>
  <c r="C28" i="141" s="1"/>
  <c r="R31" i="141"/>
  <c r="R30" i="141"/>
  <c r="R11" i="141"/>
  <c r="R12" i="141"/>
  <c r="R9" i="141"/>
  <c r="R10" i="141"/>
  <c r="Q11" i="141"/>
  <c r="Q12" i="141"/>
  <c r="Q9" i="141"/>
  <c r="Q10" i="141"/>
  <c r="E26" i="141"/>
  <c r="M26" i="141" s="1"/>
  <c r="R20" i="141"/>
  <c r="R28" i="141"/>
  <c r="L7" i="152"/>
  <c r="E6" i="149" s="1"/>
  <c r="M8" i="152"/>
  <c r="M21" i="152" s="1"/>
  <c r="M25" i="152"/>
  <c r="N6" i="152"/>
  <c r="N25" i="152"/>
  <c r="O25" i="152"/>
  <c r="Q7" i="141"/>
  <c r="Q6" i="141"/>
  <c r="Q8" i="141"/>
  <c r="Q26" i="141"/>
  <c r="B26" i="141" s="1"/>
  <c r="C26" i="141" s="1"/>
  <c r="R5" i="141"/>
  <c r="L8" i="152"/>
  <c r="C21" i="152" s="1"/>
  <c r="E27" i="141"/>
  <c r="M27" i="141" s="1"/>
  <c r="R26" i="141"/>
  <c r="Q24" i="141"/>
  <c r="B24" i="141" s="1"/>
  <c r="C24" i="141" s="1"/>
  <c r="Q27" i="141"/>
  <c r="B27" i="141" s="1"/>
  <c r="C27" i="141" s="1"/>
  <c r="R13" i="141"/>
  <c r="R8" i="141"/>
  <c r="R24" i="141"/>
  <c r="M24" i="141"/>
  <c r="R7" i="141"/>
  <c r="R27" i="141"/>
  <c r="R6" i="141"/>
  <c r="R23" i="141"/>
  <c r="L5" i="152"/>
  <c r="Q23" i="141"/>
  <c r="B23" i="141" s="1"/>
  <c r="C23" i="141" s="1"/>
  <c r="L6" i="152"/>
  <c r="L19" i="152" s="1"/>
  <c r="B19" i="152" s="1"/>
  <c r="F17" i="152"/>
  <c r="R19" i="141"/>
  <c r="Q13" i="141"/>
  <c r="I13" i="133"/>
  <c r="U13" i="133"/>
  <c r="Q19" i="141"/>
  <c r="B19" i="141" s="1"/>
  <c r="C19" i="141" s="1"/>
  <c r="Q21" i="141"/>
  <c r="B21" i="141" s="1"/>
  <c r="C21" i="141" s="1"/>
  <c r="V9" i="133"/>
  <c r="G13" i="133"/>
  <c r="K13" i="133"/>
  <c r="E13" i="133"/>
  <c r="O19" i="152"/>
  <c r="M10" i="152"/>
  <c r="M23" i="152" s="1"/>
  <c r="O24" i="152"/>
  <c r="V10" i="133"/>
  <c r="M13" i="133"/>
  <c r="Q5" i="141"/>
  <c r="H10" i="134" s="1"/>
  <c r="Q22" i="141"/>
  <c r="B22" i="141" s="1"/>
  <c r="C22" i="141" s="1"/>
  <c r="L11" i="152"/>
  <c r="N13" i="133"/>
  <c r="V11" i="133"/>
  <c r="S13" i="133"/>
  <c r="V7" i="133"/>
  <c r="M7" i="152"/>
  <c r="M20" i="152" s="1"/>
  <c r="M11" i="152"/>
  <c r="M24" i="152" s="1"/>
  <c r="O13" i="133"/>
  <c r="N10" i="152"/>
  <c r="M6" i="152"/>
  <c r="M19" i="152" s="1"/>
  <c r="L10" i="152"/>
  <c r="T13" i="133"/>
  <c r="O20" i="152"/>
  <c r="M5" i="152"/>
  <c r="M18" i="152" s="1"/>
  <c r="V8" i="133"/>
  <c r="H13" i="133"/>
  <c r="L13" i="133"/>
  <c r="N8" i="152"/>
  <c r="V12" i="133"/>
  <c r="E22" i="141"/>
  <c r="M22" i="141" s="1"/>
  <c r="D13" i="133"/>
  <c r="J13" i="133"/>
  <c r="O18" i="152"/>
  <c r="V5" i="133"/>
  <c r="N23" i="152"/>
  <c r="Q20" i="141"/>
  <c r="B20" i="141" s="1"/>
  <c r="C20" i="141" s="1"/>
  <c r="V6" i="133"/>
  <c r="N5" i="152"/>
  <c r="O21" i="152"/>
  <c r="O23" i="152"/>
  <c r="N7" i="152"/>
  <c r="N24" i="152"/>
  <c r="R22" i="141"/>
  <c r="R21" i="141"/>
  <c r="F13" i="133"/>
  <c r="N11" i="152"/>
  <c r="N20" i="152"/>
  <c r="N18" i="152"/>
  <c r="N21" i="152"/>
  <c r="N19" i="152"/>
  <c r="E12" i="141" l="1"/>
  <c r="C12" i="134"/>
  <c r="H21" i="134"/>
  <c r="H24" i="134"/>
  <c r="H22" i="134"/>
  <c r="H23" i="134"/>
  <c r="H20" i="134"/>
  <c r="H18" i="134"/>
  <c r="H17" i="134"/>
  <c r="H19" i="134"/>
  <c r="H32" i="134"/>
  <c r="H31" i="134"/>
  <c r="H29" i="134"/>
  <c r="H30" i="134"/>
  <c r="C13" i="134"/>
  <c r="H28" i="134"/>
  <c r="H26" i="134"/>
  <c r="H27" i="134"/>
  <c r="H25" i="134"/>
  <c r="H39" i="134"/>
  <c r="H40" i="134"/>
  <c r="H37" i="134"/>
  <c r="H38" i="134"/>
  <c r="C15" i="134"/>
  <c r="H34" i="134"/>
  <c r="H35" i="134"/>
  <c r="H33" i="134"/>
  <c r="H36" i="134"/>
  <c r="B8" i="149"/>
  <c r="C16" i="134"/>
  <c r="D29" i="141"/>
  <c r="C14" i="134"/>
  <c r="C11" i="134"/>
  <c r="D23" i="141"/>
  <c r="D31" i="141"/>
  <c r="D30" i="141"/>
  <c r="D25" i="141"/>
  <c r="D28" i="141"/>
  <c r="L20" i="152"/>
  <c r="B20" i="152" s="1"/>
  <c r="D20" i="152"/>
  <c r="C20" i="152" s="1"/>
  <c r="L25" i="152"/>
  <c r="B25" i="152" s="1"/>
  <c r="D25" i="152"/>
  <c r="D24" i="141"/>
  <c r="H13" i="134"/>
  <c r="D22" i="141"/>
  <c r="C10" i="134"/>
  <c r="H14" i="134"/>
  <c r="D27" i="141"/>
  <c r="H16" i="134"/>
  <c r="D26" i="141"/>
  <c r="H15" i="134"/>
  <c r="F6" i="149"/>
  <c r="L21" i="152"/>
  <c r="B21" i="152" s="1"/>
  <c r="D6" i="149"/>
  <c r="D19" i="152"/>
  <c r="C19" i="152" s="1"/>
  <c r="C6" i="149"/>
  <c r="L18" i="152"/>
  <c r="B18" i="152" s="1"/>
  <c r="D18" i="152"/>
  <c r="C18" i="152" s="1"/>
  <c r="D19" i="141"/>
  <c r="D20" i="141"/>
  <c r="C9" i="134"/>
  <c r="H12" i="134"/>
  <c r="D21" i="141"/>
  <c r="H11" i="134"/>
  <c r="D23" i="152"/>
  <c r="C23" i="152" s="1"/>
  <c r="L23" i="152"/>
  <c r="B23" i="152" s="1"/>
  <c r="V13" i="133"/>
  <c r="H9" i="134"/>
  <c r="D24" i="152"/>
  <c r="C24" i="152" s="1"/>
  <c r="L24" i="152"/>
  <c r="B24" i="152" s="1"/>
  <c r="E12" i="134" l="1"/>
  <c r="E11" i="134"/>
  <c r="E13" i="134"/>
  <c r="E14" i="134"/>
  <c r="E16" i="134"/>
  <c r="E10" i="134"/>
  <c r="E15" i="134"/>
  <c r="E9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6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6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6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7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<sst xmlns="http://schemas.openxmlformats.org/spreadsheetml/2006/main" count="446" uniqueCount="202">
  <si>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</si>
  <si>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</si>
  <si>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</si>
  <si>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</si>
  <si>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</si>
  <si>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</si>
  <si>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</si>
  <si>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</si>
  <si>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</si>
  <si>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</si>
  <si>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</si>
  <si>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</si>
  <si>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</si>
  <si>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</si>
  <si>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</si>
  <si>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</si>
  <si>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</si>
  <si>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</si>
  <si>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</si>
  <si>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</si>
  <si>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</si>
  <si>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</si>
  <si>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</si>
  <si>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</si>
  <si>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</si>
  <si>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</si>
  <si>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</si>
  <si>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</si>
  <si>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</si>
  <si>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</si>
  <si>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</si>
  <si>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</si>
  <si>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</si>
  <si>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</si>
  <si>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</si>
  <si>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</si>
  <si>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</si>
  <si>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</si>
  <si>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</si>
  <si>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</si>
  <si>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</si>
  <si>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</si>
  <si>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</si>
  <si>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</si>
  <si>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</si>
  <si>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</si>
  <si>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</si>
  <si>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</si>
  <si>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</si>
  <si>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</si>
  <si>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</si>
  <si>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</si>
  <si>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</si>
  <si>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</si>
  <si>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</si>
  <si>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</si>
  <si>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</si>
  <si>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</si>
  <si>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</si>
  <si>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</si>
  <si>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</si>
  <si>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</si>
  <si>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</si>
  <si>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</si>
  <si>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</si>
  <si>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</si>
  <si>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</si>
  <si>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</si>
  <si>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</si>
  <si>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</si>
  <si>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</si>
  <si>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</si>
  <si>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</si>
  <si>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</si>
  <si>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</si>
  <si>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</si>
  <si>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</si>
  <si>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</si>
  <si>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</si>
  <si>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</si>
  <si>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</si>
  <si>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</si>
  <si>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</si>
  <si>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</si>
  <si>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</si>
  <si>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</si>
  <si>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</si>
  <si>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</si>
  <si>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</si>
  <si>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</si>
  <si>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</si>
  <si>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</si>
  <si>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</si>
  <si>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</si>
  <si>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</si>
  <si>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</si>
  <si>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</si>
  <si>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</si>
  <si>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</si>
  <si>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</si>
  <si>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</si>
  <si>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</si>
  <si>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</si>
  <si>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</si>
  <si>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</si>
  <si>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</si>
  <si>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</si>
  <si>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</si>
  <si>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</si>
  <si>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</si>
  <si>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</si>
  <si>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</si>
  <si>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</si>
  <si>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</si>
  <si>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</si>
  <si>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</si>
  <si>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</si>
  <si>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</si>
  <si>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</si>
  <si>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</si>
  <si>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</si>
  <si>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</si>
  <si>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</si>
  <si>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</si>
  <si>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</si>
  <si>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</si>
  <si>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</si>
  <si>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</si>
  <si>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</si>
  <si>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</si>
  <si>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</si>
  <si>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</si>
  <si>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</si>
  <si>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</si>
  <si>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</si>
  <si>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</si>
  <si>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</si>
  <si>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</si>
  <si>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</si>
  <si>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</si>
  <si>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</si>
  <si>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</si>
  <si>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</si>
  <si>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</si>
  <si>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</si>
  <si>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</si>
  <si>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</si>
  <si>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</si>
  <si>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</si>
  <si>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</si>
  <si>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</si>
  <si>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</si>
  <si>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</si>
  <si>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</si>
  <si>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</si>
  <si>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</si>
  <si>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</si>
  <si>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</si>
  <si>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</si>
  <si>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</si>
  <si>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</si>
  <si>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</si>
  <si>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</si>
  <si>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</si>
  <si>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</si>
  <si>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</si>
  <si>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</si>
  <si>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</si>
  <si>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</si>
  <si>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</si>
  <si>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</si>
  <si>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</si>
  <si>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</si>
  <si>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</si>
  <si>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</si>
  <si>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</si>
  <si>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</si>
  <si>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</si>
  <si>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</si>
  <si>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</si>
  <si>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M$2021</t>
  </si>
  <si>
    <t>Motor</t>
  </si>
  <si>
    <t>MOT</t>
  </si>
  <si>
    <t>TRI</t>
  </si>
  <si>
    <t>Tri_Cycles</t>
  </si>
  <si>
    <t>FRE</t>
  </si>
  <si>
    <t>AVI</t>
  </si>
  <si>
    <t>RAI</t>
  </si>
  <si>
    <t>MAR</t>
  </si>
  <si>
    <t>Freight_Truck</t>
  </si>
  <si>
    <t>Aviation</t>
  </si>
  <si>
    <t>Railway</t>
  </si>
  <si>
    <t>Marine</t>
  </si>
  <si>
    <t>DD</t>
  </si>
  <si>
    <t>DN</t>
  </si>
  <si>
    <t>RD</t>
  </si>
  <si>
    <t>RN</t>
  </si>
  <si>
    <t>TRABIO</t>
  </si>
  <si>
    <t>PJa</t>
  </si>
  <si>
    <t>FTE-TRAHFO</t>
  </si>
  <si>
    <t>TRAHFO</t>
  </si>
  <si>
    <t>Sector Fuel Technology Existing Transport HFO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</si>
</sst>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General_)"/>
    <numFmt numFmtId="167" formatCode="\Te\x\t"/>
    <numFmt numFmtId="168" formatCode="0.00000"/>
  </numFmts>
  <fonts count="3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4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5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5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43" fontId="28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2" applyAlignment="1">
      <alignment horizontal="right"/>
    </xf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7" applyFont="1" applyBorder="1" applyAlignme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0" fontId="4" fillId="0" borderId="2" xfId="0" applyFont="1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20" fillId="12" borderId="0" xfId="7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2" applyFont="1" applyAlignment="1">
      <alignment horizontal="left" vertical="center"/>
    </xf>
    <xf numFmtId="0" fontId="3" fillId="2" borderId="3" xfId="12" applyFont="1" applyFill="1" applyBorder="1" applyAlignment="1">
      <alignment horizontal="left" vertical="center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6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4" xfId="5" applyNumberFormat="1" applyBorder="1" applyAlignment="1">
      <alignment horizontal="right"/>
    </xf>
    <xf numFmtId="1" fontId="16" fillId="8" borderId="5" xfId="5" applyNumberFormat="1" applyBorder="1" applyAlignment="1">
      <alignment horizontal="right"/>
    </xf>
    <xf numFmtId="166" fontId="16" fillId="8" borderId="6" xfId="5" applyNumberFormat="1" applyBorder="1" applyAlignment="1">
      <alignment horizontal="right" vertical="center"/>
    </xf>
    <xf numFmtId="166" fontId="9" fillId="15" borderId="7" xfId="0" applyNumberFormat="1" applyFont="1" applyFill="1" applyBorder="1" applyAlignment="1">
      <alignment horizontal="left" vertical="center"/>
    </xf>
    <xf numFmtId="166" fontId="9" fillId="15" borderId="8" xfId="0" applyNumberFormat="1" applyFont="1" applyFill="1" applyBorder="1" applyAlignment="1">
      <alignment horizontal="left" vertical="center"/>
    </xf>
    <xf numFmtId="166" fontId="9" fillId="15" borderId="9" xfId="0" applyNumberFormat="1" applyFont="1" applyFill="1" applyBorder="1" applyAlignment="1">
      <alignment horizontal="left" vertical="center"/>
    </xf>
    <xf numFmtId="166" fontId="9" fillId="15" borderId="10" xfId="0" applyNumberFormat="1" applyFont="1" applyFill="1" applyBorder="1" applyAlignment="1">
      <alignment horizontal="left" vertical="center"/>
    </xf>
    <xf numFmtId="166" fontId="9" fillId="15" borderId="1" xfId="0" applyNumberFormat="1" applyFont="1" applyFill="1" applyBorder="1" applyAlignment="1">
      <alignment horizontal="left" vertical="center"/>
    </xf>
    <xf numFmtId="166" fontId="9" fillId="15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4" borderId="12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4" xfId="0" applyNumberFormat="1" applyFont="1" applyFill="1" applyBorder="1"/>
    <xf numFmtId="1" fontId="3" fillId="15" borderId="13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4" borderId="10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9" fontId="9" fillId="15" borderId="10" xfId="17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9" fontId="9" fillId="15" borderId="2" xfId="17" applyFont="1" applyFill="1" applyBorder="1" applyAlignment="1">
      <alignment horizontal="left" vertical="center"/>
    </xf>
    <xf numFmtId="9" fontId="18" fillId="10" borderId="1" xfId="17" applyFont="1" applyFill="1" applyBorder="1" applyAlignment="1"/>
    <xf numFmtId="9" fontId="18" fillId="10" borderId="2" xfId="17" applyFont="1" applyFill="1" applyBorder="1" applyAlignment="1"/>
    <xf numFmtId="9" fontId="4" fillId="0" borderId="0" xfId="21" applyFont="1" applyFill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0" fontId="3" fillId="14" borderId="12" xfId="0" applyFont="1" applyFill="1" applyBorder="1" applyAlignment="1">
      <alignment wrapText="1"/>
    </xf>
    <xf numFmtId="0" fontId="3" fillId="14" borderId="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166" fontId="9" fillId="15" borderId="12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" fontId="24" fillId="13" borderId="1" xfId="2" applyNumberFormat="1" applyFont="1" applyFill="1" applyBorder="1" applyAlignment="1">
      <alignment horizontal="center" wrapText="1"/>
    </xf>
    <xf numFmtId="1" fontId="24" fillId="13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  <xf numFmtId="9" fontId="9" fillId="15" borderId="0" xfId="17" applyFont="1" applyFill="1" applyBorder="1" applyAlignment="1">
      <alignment horizontal="left" vertical="center"/>
    </xf>
    <xf numFmtId="9" fontId="18" fillId="10" borderId="0" xfId="17" applyFont="1" applyFill="1" applyBorder="1" applyAlignment="1"/>
    <xf numFmtId="9" fontId="9" fillId="15" borderId="16" xfId="17" applyFont="1" applyFill="1" applyBorder="1" applyAlignment="1">
      <alignment horizontal="left" vertical="center"/>
    </xf>
    <xf numFmtId="9" fontId="9" fillId="15" borderId="17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2" fontId="0" fillId="17" borderId="0" xfId="0" applyNumberFormat="1" applyFill="1"/>
    <xf numFmtId="2" fontId="0" fillId="15" borderId="0" xfId="0" applyNumberFormat="1" applyFill="1"/>
    <xf numFmtId="0" fontId="1" fillId="0" borderId="0" xfId="0" applyFont="1"/>
    <xf numFmtId="167" fontId="0" fillId="0" borderId="19" xfId="0" applyNumberFormat="1" applyBorder="1"/>
    <xf numFmtId="2" fontId="0" fillId="17" borderId="2" xfId="0" applyNumberFormat="1" applyFill="1" applyBorder="1"/>
    <xf numFmtId="2" fontId="24" fillId="13" borderId="2" xfId="2" applyNumberFormat="1" applyFont="1" applyFill="1" applyBorder="1" applyAlignment="1">
      <alignment horizontal="right" wrapText="1"/>
    </xf>
    <xf numFmtId="2" fontId="24" fillId="13" borderId="0" xfId="2" applyNumberFormat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7" fontId="0" fillId="0" borderId="29" xfId="0" applyNumberFormat="1" applyBorder="1"/>
    <xf numFmtId="2" fontId="0" fillId="16" borderId="30" xfId="0" applyNumberFormat="1" applyFill="1" applyBorder="1"/>
    <xf numFmtId="2" fontId="0" fillId="16" borderId="31" xfId="0" applyNumberFormat="1" applyFill="1" applyBorder="1"/>
    <xf numFmtId="2" fontId="4" fillId="16" borderId="20" xfId="0" applyNumberFormat="1" applyFont="1" applyFill="1" applyBorder="1"/>
    <xf numFmtId="167" fontId="0" fillId="0" borderId="23" xfId="0" applyNumberFormat="1" applyBorder="1"/>
    <xf numFmtId="0" fontId="21" fillId="4" borderId="0" xfId="1" applyFont="1" applyBorder="1" applyAlignment="1">
      <alignment horizontal="center" wrapText="1"/>
    </xf>
    <xf numFmtId="2" fontId="0" fillId="16" borderId="21" xfId="0" applyNumberFormat="1" applyFill="1" applyBorder="1"/>
    <xf numFmtId="2" fontId="0" fillId="16" borderId="24" xfId="0" applyNumberFormat="1" applyFill="1" applyBorder="1"/>
    <xf numFmtId="2" fontId="4" fillId="16" borderId="25" xfId="0" applyNumberFormat="1" applyFont="1" applyFill="1" applyBorder="1"/>
    <xf numFmtId="2" fontId="4" fillId="16" borderId="27" xfId="0" applyNumberFormat="1" applyFont="1" applyFill="1" applyBorder="1"/>
    <xf numFmtId="0" fontId="21" fillId="4" borderId="0" xfId="1" quotePrefix="1" applyFont="1" applyBorder="1" applyAlignment="1">
      <alignment horizontal="center" wrapText="1"/>
    </xf>
    <xf numFmtId="1" fontId="0" fillId="16" borderId="31" xfId="0" applyNumberFormat="1" applyFill="1" applyBorder="1"/>
    <xf numFmtId="2" fontId="0" fillId="16" borderId="25" xfId="0" applyNumberFormat="1" applyFill="1" applyBorder="1"/>
    <xf numFmtId="0" fontId="0" fillId="16" borderId="31" xfId="0" applyFill="1" applyBorder="1"/>
    <xf numFmtId="0" fontId="1" fillId="0" borderId="0" xfId="10" applyFont="1"/>
    <xf numFmtId="0" fontId="1" fillId="0" borderId="2" xfId="10" applyFont="1" applyBorder="1"/>
    <xf numFmtId="168" fontId="0" fillId="0" borderId="0" xfId="0" applyNumberFormat="1"/>
    <xf numFmtId="43" fontId="20" fillId="0" borderId="0" xfId="23" applyFont="1" applyFill="1"/>
    <xf numFmtId="9" fontId="0" fillId="0" borderId="0" xfId="0" applyNumberFormat="1"/>
    <xf numFmtId="1" fontId="22" fillId="0" borderId="0" xfId="0" applyNumberFormat="1" applyFont="1"/>
    <xf numFmtId="2" fontId="22" fillId="16" borderId="0" xfId="9" applyNumberFormat="1" applyFont="1" applyFill="1"/>
    <xf numFmtId="0" fontId="22" fillId="16" borderId="0" xfId="9" applyFont="1" applyFill="1"/>
    <xf numFmtId="0" fontId="23" fillId="14" borderId="0" xfId="0" applyFont="1" applyFill="1"/>
    <xf numFmtId="166" fontId="29" fillId="15" borderId="0" xfId="0" applyNumberFormat="1" applyFont="1" applyFill="1" applyAlignment="1">
      <alignment horizontal="left" vertical="center"/>
    </xf>
    <xf numFmtId="9" fontId="29" fillId="15" borderId="0" xfId="17" applyFont="1" applyFill="1" applyBorder="1" applyAlignment="1">
      <alignment horizontal="left" vertical="center"/>
    </xf>
    <xf numFmtId="9" fontId="30" fillId="10" borderId="0" xfId="17" applyFont="1" applyFill="1" applyBorder="1" applyAlignment="1"/>
    <xf numFmtId="0" fontId="22" fillId="0" borderId="27" xfId="0" applyFont="1" applyBorder="1"/>
    <xf numFmtId="0" fontId="22" fillId="0" borderId="28" xfId="0" applyFont="1" applyBorder="1"/>
    <xf numFmtId="167" fontId="22" fillId="0" borderId="29" xfId="0" applyNumberFormat="1" applyFont="1" applyBorder="1"/>
    <xf numFmtId="1" fontId="22" fillId="17" borderId="0" xfId="0" applyNumberFormat="1" applyFont="1" applyFill="1"/>
    <xf numFmtId="2" fontId="22" fillId="16" borderId="20" xfId="0" applyNumberFormat="1" applyFont="1" applyFill="1" applyBorder="1"/>
    <xf numFmtId="0" fontId="22" fillId="16" borderId="0" xfId="0" applyFont="1" applyFill="1"/>
    <xf numFmtId="2" fontId="22" fillId="16" borderId="0" xfId="0" applyNumberFormat="1" applyFont="1" applyFill="1"/>
    <xf numFmtId="0" fontId="22" fillId="16" borderId="30" xfId="0" applyFont="1" applyFill="1" applyBorder="1"/>
    <xf numFmtId="165" fontId="22" fillId="16" borderId="0" xfId="0" applyNumberFormat="1" applyFont="1" applyFill="1"/>
    <xf numFmtId="167" fontId="22" fillId="0" borderId="0" xfId="0" applyNumberFormat="1" applyFont="1"/>
  </cellXfs>
  <cellStyles count="24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" xfId="23" builtinId="3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Percent 5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33</xdr:row>
      <xdr:rowOff>0</xdr:rowOff>
    </xdr:from>
    <xdr:to>
      <xdr:col>14</xdr:col>
      <xdr:colOff>398145</xdr:colOff>
      <xdr:row>39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33</xdr:row>
      <xdr:rowOff>95250</xdr:rowOff>
    </xdr:from>
    <xdr:to>
      <xdr:col>17</xdr:col>
      <xdr:colOff>3864838</xdr:colOff>
      <xdr:row>40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28575</xdr:rowOff>
    </xdr:from>
    <xdr:to>
      <xdr:col>5</xdr:col>
      <xdr:colOff>19050</xdr:colOff>
      <xdr:row>23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15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zoomScaleNormal="100" workbookViewId="0">
      <selection activeCell="A31" sqref="A31:XFD31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33.28515625" customWidth="1"/>
    <col min="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</cols>
  <sheetData>
    <row r="1" spans="2:27" x14ac:dyDescent="0.2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75" x14ac:dyDescent="0.25">
      <c r="D2" s="38" t="s">
        <v>44</v>
      </c>
      <c r="E2" s="38" t="s">
        <v>45</v>
      </c>
      <c r="F2" s="38" t="s">
        <v>46</v>
      </c>
      <c r="G2" s="38" t="s">
        <v>125</v>
      </c>
      <c r="H2" s="38" t="s">
        <v>126</v>
      </c>
      <c r="I2" s="38" t="s">
        <v>127</v>
      </c>
      <c r="J2" s="38" t="s">
        <v>128</v>
      </c>
      <c r="K2" s="38" t="s">
        <v>129</v>
      </c>
      <c r="L2" s="38" t="s">
        <v>130</v>
      </c>
      <c r="M2" s="38" t="s">
        <v>131</v>
      </c>
      <c r="N2" s="38" t="s">
        <v>47</v>
      </c>
      <c r="O2" s="38" t="s">
        <v>162</v>
      </c>
      <c r="P2" s="38" t="s">
        <v>163</v>
      </c>
      <c r="Q2" s="38" t="s">
        <v>164</v>
      </c>
      <c r="R2" s="38" t="s">
        <v>165</v>
      </c>
      <c r="S2" s="38" t="s">
        <v>48</v>
      </c>
      <c r="T2" s="38" t="s">
        <v>49</v>
      </c>
      <c r="U2" s="38" t="s">
        <v>50</v>
      </c>
      <c r="V2" s="38" t="s">
        <v>170</v>
      </c>
      <c r="Y2" s="37" t="s">
        <v>180</v>
      </c>
      <c r="Z2" s="10" t="s">
        <v>76</v>
      </c>
      <c r="AA2" s="10" t="s">
        <v>104</v>
      </c>
    </row>
    <row r="3" spans="2:27" ht="38.25" x14ac:dyDescent="0.2">
      <c r="C3" s="58" t="s">
        <v>122</v>
      </c>
      <c r="D3" s="39" t="s">
        <v>51</v>
      </c>
      <c r="E3" s="39" t="s">
        <v>52</v>
      </c>
      <c r="F3" s="39" t="s">
        <v>124</v>
      </c>
      <c r="G3" s="39" t="s">
        <v>137</v>
      </c>
      <c r="H3" s="39" t="s">
        <v>134</v>
      </c>
      <c r="I3" s="39" t="s">
        <v>127</v>
      </c>
      <c r="J3" s="39" t="s">
        <v>135</v>
      </c>
      <c r="K3" s="39" t="s">
        <v>136</v>
      </c>
      <c r="L3" s="39" t="s">
        <v>132</v>
      </c>
      <c r="M3" s="39" t="s">
        <v>133</v>
      </c>
      <c r="N3" s="39" t="s">
        <v>53</v>
      </c>
      <c r="O3" s="39" t="s">
        <v>171</v>
      </c>
      <c r="P3" s="39" t="s">
        <v>167</v>
      </c>
      <c r="Q3" s="39" t="s">
        <v>168</v>
      </c>
      <c r="R3" s="39" t="s">
        <v>169</v>
      </c>
      <c r="S3" s="39" t="s">
        <v>54</v>
      </c>
      <c r="T3" s="39" t="s">
        <v>55</v>
      </c>
      <c r="U3" s="39" t="s">
        <v>88</v>
      </c>
      <c r="V3" s="39" t="s">
        <v>56</v>
      </c>
    </row>
    <row r="4" spans="2:27" x14ac:dyDescent="0.2">
      <c r="B4" s="36"/>
      <c r="C4" s="75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6"/>
    </row>
    <row r="5" spans="2:27" x14ac:dyDescent="0.2">
      <c r="B5" s="40" t="s">
        <v>58</v>
      </c>
      <c r="C5" s="48" t="s">
        <v>59</v>
      </c>
      <c r="D5" s="77">
        <f>[2]EB1!D16</f>
        <v>0</v>
      </c>
      <c r="E5" s="77">
        <f>[2]EB1!E16</f>
        <v>0</v>
      </c>
      <c r="F5" s="77">
        <f>[2]EB1!F16</f>
        <v>0</v>
      </c>
      <c r="G5" s="77">
        <f>[2]EB1!G16</f>
        <v>0</v>
      </c>
      <c r="H5" s="77">
        <f>[2]EB1!H16</f>
        <v>0</v>
      </c>
      <c r="I5" s="77">
        <f>[2]EB1!I16</f>
        <v>8.7784635600000005</v>
      </c>
      <c r="J5" s="77">
        <f>[2]EB1!J16</f>
        <v>0</v>
      </c>
      <c r="K5" s="77">
        <f>[2]EB1!K16</f>
        <v>0</v>
      </c>
      <c r="L5" s="77">
        <f>[2]EB1!L16</f>
        <v>0</v>
      </c>
      <c r="M5" s="77">
        <f>[2]EB1!M16</f>
        <v>0</v>
      </c>
      <c r="N5" s="78">
        <f>[2]EB1!N16</f>
        <v>0</v>
      </c>
      <c r="O5" s="77">
        <f>[2]EB1!O16</f>
        <v>29.606118840000001</v>
      </c>
      <c r="P5" s="77">
        <f>[2]EB1!P16</f>
        <v>0</v>
      </c>
      <c r="Q5" s="77">
        <f>[2]EB1!Q16</f>
        <v>0</v>
      </c>
      <c r="R5" s="77">
        <f>[2]EB1!R16</f>
        <v>0</v>
      </c>
      <c r="S5" s="77">
        <f>[2]EB1!S16</f>
        <v>0</v>
      </c>
      <c r="T5" s="77">
        <f>[2]EB1!T16</f>
        <v>0</v>
      </c>
      <c r="U5" s="77">
        <f>[2]EB1!U16</f>
        <v>15.231997080000001</v>
      </c>
      <c r="V5" s="79">
        <f>SUM(D5:U5)</f>
        <v>53.616579479999999</v>
      </c>
    </row>
    <row r="6" spans="2:27" x14ac:dyDescent="0.2">
      <c r="B6" s="40" t="s">
        <v>60</v>
      </c>
      <c r="C6" s="49" t="s">
        <v>61</v>
      </c>
      <c r="D6" s="77">
        <f>[2]EB1!D17</f>
        <v>0</v>
      </c>
      <c r="E6" s="77">
        <f>[2]EB1!E17</f>
        <v>0</v>
      </c>
      <c r="F6" s="77">
        <f>[2]EB1!F17</f>
        <v>0</v>
      </c>
      <c r="G6" s="77">
        <f>[2]EB1!G17</f>
        <v>0</v>
      </c>
      <c r="H6" s="77">
        <f>[2]EB1!H17</f>
        <v>0</v>
      </c>
      <c r="I6" s="77">
        <f>[2]EB1!I17</f>
        <v>5.3591040000000003</v>
      </c>
      <c r="J6" s="77">
        <f>[2]EB1!J17</f>
        <v>0</v>
      </c>
      <c r="K6" s="77">
        <f>[2]EB1!K17</f>
        <v>0</v>
      </c>
      <c r="L6" s="77">
        <f>[2]EB1!L17</f>
        <v>0</v>
      </c>
      <c r="M6" s="77">
        <f>[2]EB1!M17</f>
        <v>2.0264112000000001E-2</v>
      </c>
      <c r="N6" s="78">
        <f>[2]EB1!N17</f>
        <v>0</v>
      </c>
      <c r="O6" s="77">
        <f>[2]EB1!O17</f>
        <v>0</v>
      </c>
      <c r="P6" s="77">
        <f>[2]EB1!P17</f>
        <v>0</v>
      </c>
      <c r="Q6" s="77">
        <f>[2]EB1!Q17</f>
        <v>0</v>
      </c>
      <c r="R6" s="77">
        <f>[2]EB1!R17</f>
        <v>0</v>
      </c>
      <c r="S6" s="77">
        <f>[2]EB1!S17</f>
        <v>0</v>
      </c>
      <c r="T6" s="77">
        <f>[2]EB1!T17</f>
        <v>0</v>
      </c>
      <c r="U6" s="77">
        <f>[2]EB1!U17</f>
        <v>11.973410640000001</v>
      </c>
      <c r="V6" s="79">
        <f t="shared" ref="V6:V12" si="0">SUM(D6:U6)</f>
        <v>17.352778751999999</v>
      </c>
    </row>
    <row r="7" spans="2:27" x14ac:dyDescent="0.2">
      <c r="B7" s="40" t="s">
        <v>62</v>
      </c>
      <c r="C7" s="49" t="s">
        <v>63</v>
      </c>
      <c r="D7" s="77">
        <f>[2]EB1!D18</f>
        <v>20.32984476</v>
      </c>
      <c r="E7" s="77">
        <f>[2]EB1!E18</f>
        <v>0</v>
      </c>
      <c r="F7" s="77">
        <f>[2]EB1!F18</f>
        <v>0</v>
      </c>
      <c r="G7" s="77">
        <f>[2]EB1!G18</f>
        <v>9.3960165599999996</v>
      </c>
      <c r="H7" s="77">
        <f>[2]EB1!H18</f>
        <v>0</v>
      </c>
      <c r="I7" s="77">
        <f>[2]EB1!I18</f>
        <v>2.8470240000000004E-2</v>
      </c>
      <c r="J7" s="77">
        <f>[2]EB1!J18</f>
        <v>0</v>
      </c>
      <c r="K7" s="77">
        <f>[2]EB1!K18</f>
        <v>0</v>
      </c>
      <c r="L7" s="77">
        <f>[2]EB1!L18</f>
        <v>5.0660280000000002E-2</v>
      </c>
      <c r="M7" s="77">
        <f>[2]EB1!M18</f>
        <v>0</v>
      </c>
      <c r="N7" s="78">
        <f>[2]EB1!N18</f>
        <v>0</v>
      </c>
      <c r="O7" s="77">
        <f>[2]EB1!O18</f>
        <v>60.016103280000003</v>
      </c>
      <c r="P7" s="77">
        <f>[2]EB1!P18</f>
        <v>0</v>
      </c>
      <c r="Q7" s="77">
        <f>[2]EB1!Q18</f>
        <v>0</v>
      </c>
      <c r="R7" s="77">
        <f>[2]EB1!R18</f>
        <v>0</v>
      </c>
      <c r="S7" s="77">
        <f>[2]EB1!S18</f>
        <v>0</v>
      </c>
      <c r="T7" s="77">
        <f>[2]EB1!T18</f>
        <v>0</v>
      </c>
      <c r="U7" s="77">
        <f>[2]EB1!U18</f>
        <v>15.341691240000001</v>
      </c>
      <c r="V7" s="79">
        <f t="shared" si="0"/>
        <v>105.16278636</v>
      </c>
    </row>
    <row r="8" spans="2:27" x14ac:dyDescent="0.2">
      <c r="B8" s="40" t="s">
        <v>64</v>
      </c>
      <c r="C8" s="49" t="s">
        <v>65</v>
      </c>
      <c r="D8" s="77">
        <f>[2]EB1!D19</f>
        <v>0</v>
      </c>
      <c r="E8" s="77">
        <f>[2]EB1!E19</f>
        <v>0</v>
      </c>
      <c r="F8" s="77">
        <f>[2]EB1!F19</f>
        <v>0</v>
      </c>
      <c r="G8" s="77">
        <f>[2]EB1!G19</f>
        <v>8.9932464000000003</v>
      </c>
      <c r="H8" s="77">
        <f>[2]EB1!H19</f>
        <v>0</v>
      </c>
      <c r="I8" s="77">
        <f>[2]EB1!I19</f>
        <v>0</v>
      </c>
      <c r="J8" s="77">
        <f>[2]EB1!J19</f>
        <v>0</v>
      </c>
      <c r="K8" s="77">
        <f>[2]EB1!K19</f>
        <v>0</v>
      </c>
      <c r="L8" s="77">
        <f>[2]EB1!L19</f>
        <v>0</v>
      </c>
      <c r="M8" s="77">
        <f>[2]EB1!M19</f>
        <v>0</v>
      </c>
      <c r="N8" s="78">
        <f>[2]EB1!N19</f>
        <v>0</v>
      </c>
      <c r="O8" s="77">
        <f>[2]EB1!O19</f>
        <v>0</v>
      </c>
      <c r="P8" s="77">
        <f>[2]EB1!P19</f>
        <v>0</v>
      </c>
      <c r="Q8" s="77">
        <f>[2]EB1!Q19</f>
        <v>0</v>
      </c>
      <c r="R8" s="77">
        <f>[2]EB1!R19</f>
        <v>0</v>
      </c>
      <c r="S8" s="77">
        <f>[2]EB1!S19</f>
        <v>4.1868000000000006E-5</v>
      </c>
      <c r="T8" s="77">
        <f>[2]EB1!T19</f>
        <v>0</v>
      </c>
      <c r="U8" s="77">
        <f>[2]EB1!U19</f>
        <v>0</v>
      </c>
      <c r="V8" s="79">
        <f t="shared" si="0"/>
        <v>8.9932882680000006</v>
      </c>
    </row>
    <row r="9" spans="2:27" ht="15" x14ac:dyDescent="0.25">
      <c r="B9" s="40" t="s">
        <v>66</v>
      </c>
      <c r="C9" s="49" t="s">
        <v>67</v>
      </c>
      <c r="D9" s="77">
        <f>[2]EB1!D20</f>
        <v>0</v>
      </c>
      <c r="E9" s="44">
        <f>[2]EB1!E20</f>
        <v>0</v>
      </c>
      <c r="F9" s="77">
        <f>[2]EB1!F20</f>
        <v>0</v>
      </c>
      <c r="G9" s="44">
        <f>[2]EB1!G20</f>
        <v>59.234009040000004</v>
      </c>
      <c r="H9" s="121">
        <f>[2]EB1!H20</f>
        <v>2.9927246400000005</v>
      </c>
      <c r="I9" s="44">
        <f>[2]EB1!I20</f>
        <v>1.2346873199999999</v>
      </c>
      <c r="J9" s="44">
        <f>[2]EB1!J20</f>
        <v>28.510014600000005</v>
      </c>
      <c r="K9" s="77">
        <f>[2]EB1!K20</f>
        <v>0</v>
      </c>
      <c r="L9" s="77">
        <f>[2]EB1!L20</f>
        <v>1.2556213199999999</v>
      </c>
      <c r="M9" s="77">
        <f>[2]EB1!M20</f>
        <v>8.1692841600000001</v>
      </c>
      <c r="N9" s="77">
        <f>[2]EB1!N20</f>
        <v>0</v>
      </c>
      <c r="O9" s="44">
        <f>[2]EB1!O20</f>
        <v>0</v>
      </c>
      <c r="P9" s="77">
        <f>[2]EB1!P20</f>
        <v>0</v>
      </c>
      <c r="Q9" s="77">
        <f>[2]EB1!Q20</f>
        <v>0</v>
      </c>
      <c r="R9" s="77">
        <f>[2]EB1!R20</f>
        <v>0</v>
      </c>
      <c r="S9" s="77">
        <f>[2]EB1!S20</f>
        <v>0</v>
      </c>
      <c r="T9" s="77">
        <f>[2]EB1!T20</f>
        <v>0</v>
      </c>
      <c r="U9" s="44">
        <f>[2]EB1!U20</f>
        <v>0</v>
      </c>
      <c r="V9" s="79">
        <f t="shared" si="0"/>
        <v>101.39634108000001</v>
      </c>
    </row>
    <row r="10" spans="2:27" x14ac:dyDescent="0.2">
      <c r="B10" s="40" t="s">
        <v>68</v>
      </c>
      <c r="C10" s="50" t="s">
        <v>69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80">
        <f t="shared" si="0"/>
        <v>9.4588185599999992</v>
      </c>
    </row>
    <row r="11" spans="2:27" x14ac:dyDescent="0.2">
      <c r="B11" s="40" t="s">
        <v>86</v>
      </c>
      <c r="C11" s="49" t="s">
        <v>70</v>
      </c>
      <c r="D11" s="77">
        <f>[2]EB1!D22</f>
        <v>0</v>
      </c>
      <c r="E11" s="77">
        <f>[2]EB1!E22</f>
        <v>0</v>
      </c>
      <c r="F11" s="77">
        <f>[2]EB1!F22</f>
        <v>0</v>
      </c>
      <c r="G11" s="77">
        <f>[2]EB1!G22</f>
        <v>0</v>
      </c>
      <c r="H11" s="77">
        <f>[2]EB1!H22</f>
        <v>0</v>
      </c>
      <c r="I11" s="77">
        <f>[2]EB1!I22</f>
        <v>0</v>
      </c>
      <c r="J11" s="77">
        <f>[2]EB1!J22</f>
        <v>0</v>
      </c>
      <c r="K11" s="77">
        <f>[2]EB1!K22</f>
        <v>0</v>
      </c>
      <c r="L11" s="77">
        <f>[2]EB1!L22</f>
        <v>0</v>
      </c>
      <c r="M11" s="77">
        <f>[2]EB1!M22</f>
        <v>0</v>
      </c>
      <c r="N11" s="78">
        <f>[2]EB1!N22</f>
        <v>0</v>
      </c>
      <c r="O11" s="77">
        <f>[2]EB1!O22</f>
        <v>0</v>
      </c>
      <c r="P11" s="77">
        <f>[2]EB1!P22</f>
        <v>0</v>
      </c>
      <c r="Q11" s="77">
        <f>[2]EB1!Q22</f>
        <v>0</v>
      </c>
      <c r="R11" s="77">
        <f>[2]EB1!R22</f>
        <v>0</v>
      </c>
      <c r="S11" s="77">
        <f>[2]EB1!S22</f>
        <v>0</v>
      </c>
      <c r="T11" s="77">
        <f>[2]EB1!T22</f>
        <v>0</v>
      </c>
      <c r="U11" s="77">
        <f>[2]EB1!U22</f>
        <v>0</v>
      </c>
      <c r="V11" s="79">
        <f t="shared" si="0"/>
        <v>0</v>
      </c>
    </row>
    <row r="12" spans="2:27" x14ac:dyDescent="0.2">
      <c r="B12" s="40" t="s">
        <v>87</v>
      </c>
      <c r="C12" s="49" t="s">
        <v>71</v>
      </c>
      <c r="D12" s="77">
        <f>[2]EB1!D23</f>
        <v>0</v>
      </c>
      <c r="E12" s="77">
        <f>[2]EB1!E23</f>
        <v>0</v>
      </c>
      <c r="F12" s="77">
        <f>[2]EB1!F23</f>
        <v>0</v>
      </c>
      <c r="G12" s="77">
        <f>[2]EB1!G23</f>
        <v>0</v>
      </c>
      <c r="H12" s="77">
        <f>[2]EB1!H23</f>
        <v>0</v>
      </c>
      <c r="I12" s="77">
        <f>[2]EB1!I23</f>
        <v>0</v>
      </c>
      <c r="J12" s="77">
        <f>[2]EB1!J23</f>
        <v>0</v>
      </c>
      <c r="K12" s="77">
        <f>[2]EB1!K23</f>
        <v>0</v>
      </c>
      <c r="L12" s="77">
        <f>[2]EB1!L23</f>
        <v>0</v>
      </c>
      <c r="M12" s="77">
        <f>[2]EB1!M23</f>
        <v>0</v>
      </c>
      <c r="N12" s="78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77">
        <f>[2]EB1!S23</f>
        <v>0</v>
      </c>
      <c r="T12" s="77">
        <f>[2]EB1!T23</f>
        <v>0</v>
      </c>
      <c r="U12" s="77">
        <f>[2]EB1!U23</f>
        <v>0</v>
      </c>
      <c r="V12" s="79">
        <f t="shared" si="0"/>
        <v>0</v>
      </c>
    </row>
    <row r="13" spans="2:27" ht="15" x14ac:dyDescent="0.25">
      <c r="B13" s="74" t="s">
        <v>89</v>
      </c>
      <c r="C13" s="47" t="s">
        <v>157</v>
      </c>
      <c r="D13" s="45">
        <f t="shared" ref="D13:V13" si="1">SUM(D5:D12)</f>
        <v>20.32984476</v>
      </c>
      <c r="E13" s="45">
        <f t="shared" si="1"/>
        <v>0</v>
      </c>
      <c r="F13" s="45">
        <f t="shared" si="1"/>
        <v>0</v>
      </c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</row>
    <row r="14" spans="2:27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27" ht="15" x14ac:dyDescent="0.25">
      <c r="C16" s="44" t="s">
        <v>152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">
      <c r="C23" s="1"/>
      <c r="D23" s="21"/>
    </row>
    <row r="24" spans="2:24" ht="38.25" x14ac:dyDescent="0.2">
      <c r="B24" s="22" t="s">
        <v>102</v>
      </c>
      <c r="C24" s="54" t="s">
        <v>116</v>
      </c>
      <c r="D24" s="97" t="s">
        <v>51</v>
      </c>
      <c r="E24" s="98" t="s">
        <v>52</v>
      </c>
      <c r="F24" s="98" t="s">
        <v>124</v>
      </c>
      <c r="G24" s="98" t="s">
        <v>137</v>
      </c>
      <c r="H24" s="98" t="s">
        <v>134</v>
      </c>
      <c r="I24" s="98" t="s">
        <v>127</v>
      </c>
      <c r="J24" s="98" t="s">
        <v>135</v>
      </c>
      <c r="K24" s="98" t="s">
        <v>136</v>
      </c>
      <c r="L24" s="98" t="s">
        <v>132</v>
      </c>
      <c r="M24" s="98" t="s">
        <v>133</v>
      </c>
      <c r="N24" s="98" t="s">
        <v>53</v>
      </c>
      <c r="O24" s="98" t="s">
        <v>166</v>
      </c>
      <c r="P24" s="98" t="s">
        <v>167</v>
      </c>
      <c r="Q24" s="98" t="s">
        <v>168</v>
      </c>
      <c r="R24" s="98" t="s">
        <v>169</v>
      </c>
      <c r="S24" s="98" t="s">
        <v>54</v>
      </c>
      <c r="T24" s="98" t="s">
        <v>55</v>
      </c>
      <c r="U24" s="99" t="s">
        <v>88</v>
      </c>
      <c r="V24" s="39" t="s">
        <v>56</v>
      </c>
    </row>
    <row r="25" spans="2:24" ht="15" x14ac:dyDescent="0.25">
      <c r="B25" s="40" t="s">
        <v>66</v>
      </c>
      <c r="C25" s="51" t="s">
        <v>159</v>
      </c>
      <c r="D25" s="84"/>
      <c r="E25" s="85"/>
      <c r="F25" s="85"/>
      <c r="G25" s="88">
        <v>0.21</v>
      </c>
      <c r="H25" s="85"/>
      <c r="I25" s="88">
        <v>0.12</v>
      </c>
      <c r="J25" s="88">
        <v>0.5</v>
      </c>
      <c r="K25" s="85"/>
      <c r="L25" s="85"/>
      <c r="M25" s="88">
        <v>0.5</v>
      </c>
      <c r="N25" s="85"/>
      <c r="O25" s="85"/>
      <c r="P25" s="85"/>
      <c r="Q25" s="85"/>
      <c r="R25" s="85"/>
      <c r="S25" s="85"/>
      <c r="T25" s="85"/>
      <c r="U25" s="117"/>
      <c r="V25" s="52"/>
      <c r="X25" s="48" t="s">
        <v>138</v>
      </c>
    </row>
    <row r="26" spans="2:24" ht="15" x14ac:dyDescent="0.25">
      <c r="B26" s="40" t="s">
        <v>66</v>
      </c>
      <c r="C26" s="53" t="s">
        <v>160</v>
      </c>
      <c r="D26" s="86"/>
      <c r="E26" s="87"/>
      <c r="F26" s="87"/>
      <c r="G26" s="89">
        <v>0.12</v>
      </c>
      <c r="H26" s="87"/>
      <c r="I26" s="89">
        <v>0.03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118"/>
      <c r="V26" s="41"/>
      <c r="X26" s="50" t="s">
        <v>158</v>
      </c>
    </row>
    <row r="27" spans="2:24" ht="15" x14ac:dyDescent="0.25">
      <c r="B27" s="40" t="s">
        <v>66</v>
      </c>
      <c r="C27" s="41" t="s">
        <v>182</v>
      </c>
      <c r="D27" s="115"/>
      <c r="E27" s="115"/>
      <c r="F27" s="115"/>
      <c r="G27" s="115"/>
      <c r="H27" s="115"/>
      <c r="I27" s="116">
        <v>0</v>
      </c>
      <c r="J27" s="116">
        <v>0.45</v>
      </c>
      <c r="K27" s="115"/>
      <c r="L27" s="115"/>
      <c r="M27" s="116">
        <v>0.45</v>
      </c>
      <c r="N27" s="115"/>
      <c r="O27" s="115"/>
      <c r="P27" s="115"/>
      <c r="Q27" s="115"/>
      <c r="R27" s="115"/>
      <c r="S27" s="115"/>
      <c r="T27" s="115"/>
      <c r="U27" s="119"/>
      <c r="V27" s="41"/>
      <c r="X27" s="41" t="s">
        <v>181</v>
      </c>
    </row>
    <row r="28" spans="2:24" ht="15" x14ac:dyDescent="0.25">
      <c r="B28" s="40" t="s">
        <v>66</v>
      </c>
      <c r="C28" s="41" t="s">
        <v>183</v>
      </c>
      <c r="D28" s="115"/>
      <c r="E28" s="115"/>
      <c r="F28" s="115"/>
      <c r="G28" s="115"/>
      <c r="H28" s="115"/>
      <c r="I28" s="116">
        <v>0.85</v>
      </c>
      <c r="J28" s="116">
        <v>0.05</v>
      </c>
      <c r="K28" s="115"/>
      <c r="L28" s="115"/>
      <c r="M28" s="116">
        <v>0.05</v>
      </c>
      <c r="N28" s="115"/>
      <c r="O28" s="115"/>
      <c r="P28" s="115"/>
      <c r="Q28" s="115"/>
      <c r="R28" s="115"/>
      <c r="S28" s="115"/>
      <c r="T28" s="115"/>
      <c r="U28" s="119"/>
      <c r="V28" s="41"/>
      <c r="X28" s="41" t="s">
        <v>184</v>
      </c>
    </row>
    <row r="29" spans="2:24" ht="15" x14ac:dyDescent="0.25">
      <c r="B29" s="40" t="s">
        <v>66</v>
      </c>
      <c r="C29" s="41" t="s">
        <v>185</v>
      </c>
      <c r="D29" s="115"/>
      <c r="E29" s="115"/>
      <c r="F29" s="115"/>
      <c r="G29" s="116">
        <v>0.63</v>
      </c>
      <c r="H29" s="115"/>
      <c r="I29" s="116">
        <v>0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41"/>
      <c r="X29" s="41" t="s">
        <v>189</v>
      </c>
    </row>
    <row r="30" spans="2:24" ht="15" x14ac:dyDescent="0.25">
      <c r="B30" s="40" t="s">
        <v>66</v>
      </c>
      <c r="C30" s="41" t="s">
        <v>186</v>
      </c>
      <c r="D30" s="115"/>
      <c r="E30" s="115"/>
      <c r="F30" s="115"/>
      <c r="G30" s="116">
        <v>0</v>
      </c>
      <c r="H30" s="116">
        <v>1</v>
      </c>
      <c r="I30" s="116">
        <v>0</v>
      </c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41"/>
      <c r="X30" s="41" t="s">
        <v>190</v>
      </c>
    </row>
    <row r="31" spans="2:24" s="14" customFormat="1" ht="15" x14ac:dyDescent="0.25">
      <c r="B31" s="160" t="s">
        <v>66</v>
      </c>
      <c r="C31" s="161" t="s">
        <v>187</v>
      </c>
      <c r="D31" s="162"/>
      <c r="E31" s="162"/>
      <c r="F31" s="162"/>
      <c r="G31" s="163">
        <v>0</v>
      </c>
      <c r="H31" s="162"/>
      <c r="I31" s="162"/>
      <c r="J31" s="162"/>
      <c r="K31" s="162"/>
      <c r="L31" s="163">
        <v>1</v>
      </c>
      <c r="M31" s="162"/>
      <c r="N31" s="162"/>
      <c r="O31" s="162"/>
      <c r="P31" s="162"/>
      <c r="Q31" s="162"/>
      <c r="R31" s="162"/>
      <c r="S31" s="162"/>
      <c r="T31" s="162"/>
      <c r="U31" s="162"/>
      <c r="V31" s="161"/>
      <c r="X31" s="161" t="s">
        <v>191</v>
      </c>
    </row>
    <row r="32" spans="2:24" ht="15" x14ac:dyDescent="0.25">
      <c r="B32" s="40" t="s">
        <v>66</v>
      </c>
      <c r="C32" s="41" t="s">
        <v>188</v>
      </c>
      <c r="D32" s="115"/>
      <c r="E32" s="115"/>
      <c r="F32" s="115"/>
      <c r="G32" s="116">
        <v>0.03</v>
      </c>
      <c r="H32" s="115"/>
      <c r="I32" s="115"/>
      <c r="J32" s="116">
        <v>0</v>
      </c>
      <c r="K32" s="115"/>
      <c r="L32" s="115"/>
      <c r="M32" s="116">
        <v>0</v>
      </c>
      <c r="N32" s="115"/>
      <c r="O32" s="115"/>
      <c r="P32" s="115"/>
      <c r="Q32" s="115"/>
      <c r="R32" s="115"/>
      <c r="S32" s="115"/>
      <c r="T32" s="115"/>
      <c r="U32" s="115"/>
      <c r="V32" s="41"/>
      <c r="X32" s="41" t="s">
        <v>192</v>
      </c>
    </row>
    <row r="34" spans="2:13" x14ac:dyDescent="0.2">
      <c r="G34" s="156">
        <f>SUM(G25:G32)</f>
        <v>0.99</v>
      </c>
      <c r="H34" s="156">
        <f t="shared" ref="H34:J34" si="2">SUM(H25:H32)</f>
        <v>1</v>
      </c>
      <c r="I34" s="156">
        <f t="shared" si="2"/>
        <v>1</v>
      </c>
      <c r="J34" s="156">
        <f t="shared" si="2"/>
        <v>1</v>
      </c>
      <c r="M34" s="156">
        <f t="shared" ref="M34" si="3">SUM(M25:M32)</f>
        <v>1</v>
      </c>
    </row>
    <row r="35" spans="2:13" x14ac:dyDescent="0.2">
      <c r="C35" s="55" t="s">
        <v>106</v>
      </c>
      <c r="D35" s="57" t="s">
        <v>107</v>
      </c>
      <c r="E35" s="56" t="s">
        <v>108</v>
      </c>
    </row>
    <row r="36" spans="2:13" x14ac:dyDescent="0.2">
      <c r="B36" s="20" t="s">
        <v>117</v>
      </c>
      <c r="C36" s="82" t="s">
        <v>109</v>
      </c>
      <c r="D36" s="82" t="s">
        <v>110</v>
      </c>
      <c r="E36" s="83" t="s">
        <v>108</v>
      </c>
    </row>
    <row r="37" spans="2:13" x14ac:dyDescent="0.2">
      <c r="B37" s="40" t="s">
        <v>66</v>
      </c>
      <c r="C37" s="100">
        <v>1</v>
      </c>
      <c r="D37" s="101"/>
      <c r="E37" s="10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D7" sqref="D7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</cols>
  <sheetData>
    <row r="3" spans="2:7" ht="18" x14ac:dyDescent="0.25">
      <c r="B3" s="68" t="s">
        <v>156</v>
      </c>
    </row>
    <row r="5" spans="2:7" x14ac:dyDescent="0.2">
      <c r="D5" s="69" t="s">
        <v>161</v>
      </c>
      <c r="E5" s="69"/>
      <c r="F5" s="69"/>
      <c r="G5" s="6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8"/>
  <sheetViews>
    <sheetView zoomScaleNormal="100" workbookViewId="0">
      <selection activeCell="F22" sqref="F22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27"/>
    </row>
    <row r="2" spans="2:18" ht="15.75" x14ac:dyDescent="0.25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5" t="s">
        <v>14</v>
      </c>
      <c r="K2" s="105"/>
      <c r="L2" s="106"/>
      <c r="M2" s="106"/>
      <c r="N2" s="106"/>
      <c r="O2" s="106"/>
      <c r="P2" s="106"/>
      <c r="Q2" s="106"/>
      <c r="R2" s="106"/>
    </row>
    <row r="3" spans="2:18" x14ac:dyDescent="0.2">
      <c r="J3" s="107" t="s">
        <v>7</v>
      </c>
      <c r="K3" s="108" t="s">
        <v>30</v>
      </c>
      <c r="L3" s="107" t="s">
        <v>0</v>
      </c>
      <c r="M3" s="107" t="s">
        <v>3</v>
      </c>
      <c r="N3" s="107" t="s">
        <v>4</v>
      </c>
      <c r="O3" s="107" t="s">
        <v>8</v>
      </c>
      <c r="P3" s="107" t="s">
        <v>9</v>
      </c>
      <c r="Q3" s="107" t="s">
        <v>10</v>
      </c>
      <c r="R3" s="107" t="s">
        <v>12</v>
      </c>
    </row>
    <row r="4" spans="2:18" ht="24" thickBot="1" x14ac:dyDescent="0.3">
      <c r="B4" s="9"/>
      <c r="C4" s="9"/>
      <c r="D4" s="9"/>
      <c r="E4" s="9"/>
      <c r="G4" s="9"/>
      <c r="J4" s="109" t="s">
        <v>37</v>
      </c>
      <c r="K4" s="109" t="s">
        <v>31</v>
      </c>
      <c r="L4" s="109" t="s">
        <v>26</v>
      </c>
      <c r="M4" s="109" t="s">
        <v>27</v>
      </c>
      <c r="N4" s="109" t="s">
        <v>4</v>
      </c>
      <c r="O4" s="109" t="s">
        <v>40</v>
      </c>
      <c r="P4" s="109" t="s">
        <v>41</v>
      </c>
      <c r="Q4" s="109" t="s">
        <v>28</v>
      </c>
      <c r="R4" s="109" t="s">
        <v>29</v>
      </c>
    </row>
    <row r="5" spans="2:18" x14ac:dyDescent="0.2">
      <c r="E5" s="12"/>
      <c r="F5" s="12"/>
      <c r="G5" s="67"/>
      <c r="H5" s="11"/>
      <c r="J5" s="110" t="s">
        <v>72</v>
      </c>
      <c r="K5" s="110"/>
      <c r="L5" s="110" t="str">
        <f>$B$2&amp;'EB1'!$E$2</f>
        <v>TRAGAS</v>
      </c>
      <c r="M5" s="111" t="str">
        <f>$C$2&amp;" "&amp;'EB1'!$E$3</f>
        <v>Transport Natural Gas</v>
      </c>
      <c r="N5" s="110" t="str">
        <f t="shared" ref="N5:N12" si="0">$E$2</f>
        <v>PJ</v>
      </c>
      <c r="O5" s="110"/>
      <c r="P5" s="110"/>
      <c r="Q5" s="110"/>
      <c r="R5" s="110"/>
    </row>
    <row r="6" spans="2:18" x14ac:dyDescent="0.2">
      <c r="E6" s="12"/>
      <c r="F6" s="12"/>
      <c r="G6" s="67"/>
      <c r="H6" s="11"/>
      <c r="J6" s="110"/>
      <c r="K6" s="110"/>
      <c r="L6" s="110" t="str">
        <f>$B$2&amp;'EB1'!$G$2</f>
        <v>TRADSL</v>
      </c>
      <c r="M6" s="111" t="str">
        <f>$C$2&amp;" "&amp;'EB1'!$G$3</f>
        <v>Transport Diesel oil</v>
      </c>
      <c r="N6" s="110" t="str">
        <f t="shared" si="0"/>
        <v>PJ</v>
      </c>
      <c r="O6" s="110"/>
      <c r="P6" s="110"/>
      <c r="Q6" s="110"/>
      <c r="R6" s="110"/>
    </row>
    <row r="7" spans="2:18" x14ac:dyDescent="0.2">
      <c r="E7" s="12"/>
      <c r="F7" s="12"/>
      <c r="G7" s="67"/>
      <c r="H7" s="11"/>
      <c r="J7" s="110"/>
      <c r="K7" s="110"/>
      <c r="L7" s="110" t="str">
        <f>$B$2&amp;'EB1'!$I$2</f>
        <v>TRALPG</v>
      </c>
      <c r="M7" s="111" t="str">
        <f>$C$2&amp;" "&amp;'EB1'!$I$3</f>
        <v>Transport LPG</v>
      </c>
      <c r="N7" s="110" t="str">
        <f t="shared" si="0"/>
        <v>PJ</v>
      </c>
      <c r="O7" s="110"/>
      <c r="P7" s="110"/>
      <c r="Q7" s="110"/>
      <c r="R7" s="110"/>
    </row>
    <row r="8" spans="2:18" x14ac:dyDescent="0.2">
      <c r="E8" s="12"/>
      <c r="F8" s="12"/>
      <c r="G8" s="67"/>
      <c r="H8" s="11"/>
      <c r="J8" s="110"/>
      <c r="K8" s="110"/>
      <c r="L8" s="110" t="str">
        <f>$B$2&amp;'EB1'!$J$2</f>
        <v>TRAGSL</v>
      </c>
      <c r="M8" s="111" t="str">
        <f>$C$2&amp;" "&amp;'EB1'!$J$3</f>
        <v>Transport Motor spirit</v>
      </c>
      <c r="N8" s="110" t="str">
        <f t="shared" si="0"/>
        <v>PJ</v>
      </c>
      <c r="O8" s="110"/>
      <c r="P8" s="110"/>
      <c r="Q8" s="110"/>
      <c r="R8" s="110"/>
    </row>
    <row r="9" spans="2:18" x14ac:dyDescent="0.2">
      <c r="E9" s="12"/>
      <c r="F9" s="12"/>
      <c r="G9" s="67"/>
      <c r="H9" s="11"/>
      <c r="J9" s="110"/>
      <c r="K9" s="110"/>
      <c r="L9" s="14" t="s">
        <v>200</v>
      </c>
      <c r="M9" s="111" t="str">
        <f>$C$2&amp;" "&amp;'EB1'!$L$3</f>
        <v>Transport Heavy Fuel Oil</v>
      </c>
      <c r="N9" s="110" t="str">
        <f t="shared" si="0"/>
        <v>PJ</v>
      </c>
      <c r="O9" s="110"/>
      <c r="P9" s="110"/>
      <c r="Q9" s="110"/>
      <c r="R9" s="110"/>
    </row>
    <row r="10" spans="2:18" x14ac:dyDescent="0.2">
      <c r="E10" s="12"/>
      <c r="F10" s="12"/>
      <c r="G10" s="67"/>
      <c r="H10" s="11"/>
      <c r="J10" s="110"/>
      <c r="K10" s="110"/>
      <c r="L10" s="110" t="str">
        <f>$B$2&amp;'EB1'!$O$2</f>
        <v>TRABIO</v>
      </c>
      <c r="M10" s="111" t="str">
        <f>$C$2&amp;" "&amp;'EB1'!O3</f>
        <v>Transport Biofuels</v>
      </c>
      <c r="N10" s="110" t="str">
        <f t="shared" si="0"/>
        <v>PJ</v>
      </c>
      <c r="O10" s="110"/>
      <c r="P10" s="110"/>
      <c r="Q10" s="110"/>
      <c r="R10" s="110"/>
    </row>
    <row r="11" spans="2:18" x14ac:dyDescent="0.2">
      <c r="E11" s="12"/>
      <c r="F11" s="12"/>
      <c r="G11" s="67"/>
      <c r="H11" s="11"/>
      <c r="J11" s="110"/>
      <c r="K11" s="110"/>
      <c r="L11" s="110" t="str">
        <f>$B$2&amp;'EB1'!$U$2</f>
        <v>TRAELC</v>
      </c>
      <c r="M11" s="111" t="str">
        <f>$C$2&amp;" "&amp;'EB1'!$U$3</f>
        <v>Transport Electricity</v>
      </c>
      <c r="N11" s="110" t="str">
        <f t="shared" si="0"/>
        <v>PJ</v>
      </c>
      <c r="O11" s="110"/>
      <c r="P11" s="110" t="s">
        <v>121</v>
      </c>
      <c r="Q11" s="110"/>
      <c r="R11" s="110" t="s">
        <v>50</v>
      </c>
    </row>
    <row r="12" spans="2:18" x14ac:dyDescent="0.2">
      <c r="L12" s="110" t="str">
        <f>$B$2&amp;'EB1'!$H$2</f>
        <v>TRAKER</v>
      </c>
      <c r="M12" s="111" t="str">
        <f>$C$2&amp;" "&amp;'EB1'!$H$3</f>
        <v>Transport Kerosenes</v>
      </c>
      <c r="N12" s="110" t="str">
        <f t="shared" si="0"/>
        <v>PJ</v>
      </c>
    </row>
    <row r="13" spans="2:18" x14ac:dyDescent="0.2">
      <c r="L13" s="110"/>
      <c r="M13" s="111"/>
      <c r="N13" s="110"/>
    </row>
    <row r="14" spans="2:18" x14ac:dyDescent="0.2">
      <c r="D14" s="5" t="s">
        <v>13</v>
      </c>
      <c r="E14" s="5"/>
      <c r="F14" s="5"/>
      <c r="J14" s="105" t="s">
        <v>15</v>
      </c>
      <c r="K14" s="105"/>
      <c r="L14" s="110"/>
      <c r="M14" s="110"/>
      <c r="N14" s="110"/>
      <c r="O14" s="110"/>
      <c r="P14" s="110"/>
      <c r="Q14" s="110"/>
      <c r="R14" s="110"/>
    </row>
    <row r="15" spans="2:18" x14ac:dyDescent="0.2">
      <c r="B15" s="17" t="s">
        <v>1</v>
      </c>
      <c r="C15" s="17" t="s">
        <v>5</v>
      </c>
      <c r="D15" s="17" t="s">
        <v>6</v>
      </c>
      <c r="E15" s="72" t="s">
        <v>151</v>
      </c>
      <c r="F15" s="70" t="s">
        <v>123</v>
      </c>
      <c r="G15" s="70" t="s">
        <v>85</v>
      </c>
      <c r="H15" s="70" t="s">
        <v>79</v>
      </c>
      <c r="J15" s="107" t="s">
        <v>11</v>
      </c>
      <c r="K15" s="108" t="s">
        <v>30</v>
      </c>
      <c r="L15" s="107" t="s">
        <v>1</v>
      </c>
      <c r="M15" s="107" t="s">
        <v>2</v>
      </c>
      <c r="N15" s="107" t="s">
        <v>16</v>
      </c>
      <c r="O15" s="107" t="s">
        <v>17</v>
      </c>
      <c r="P15" s="107" t="s">
        <v>18</v>
      </c>
      <c r="Q15" s="107" t="s">
        <v>19</v>
      </c>
      <c r="R15" s="107" t="s">
        <v>20</v>
      </c>
    </row>
    <row r="16" spans="2:18" ht="23.25" thickBot="1" x14ac:dyDescent="0.25">
      <c r="B16" s="16" t="s">
        <v>39</v>
      </c>
      <c r="C16" s="16" t="s">
        <v>32</v>
      </c>
      <c r="D16" s="16" t="s">
        <v>33</v>
      </c>
      <c r="E16" s="16" t="s">
        <v>150</v>
      </c>
      <c r="F16" s="16" t="s">
        <v>34</v>
      </c>
      <c r="G16" s="16" t="s">
        <v>90</v>
      </c>
      <c r="H16" s="16" t="s">
        <v>172</v>
      </c>
      <c r="J16" s="109" t="s">
        <v>38</v>
      </c>
      <c r="K16" s="109" t="s">
        <v>31</v>
      </c>
      <c r="L16" s="109" t="s">
        <v>21</v>
      </c>
      <c r="M16" s="109" t="s">
        <v>22</v>
      </c>
      <c r="N16" s="109" t="s">
        <v>23</v>
      </c>
      <c r="O16" s="109" t="s">
        <v>24</v>
      </c>
      <c r="P16" s="109" t="s">
        <v>43</v>
      </c>
      <c r="Q16" s="109" t="s">
        <v>42</v>
      </c>
      <c r="R16" s="109" t="s">
        <v>25</v>
      </c>
    </row>
    <row r="17" spans="2:18" ht="13.5" thickBot="1" x14ac:dyDescent="0.25">
      <c r="B17" s="15" t="s">
        <v>91</v>
      </c>
      <c r="C17" s="15"/>
      <c r="D17" s="15"/>
      <c r="E17" s="13"/>
      <c r="F17" s="13" t="str">
        <f>E2&amp;"a"</f>
        <v>PJa</v>
      </c>
      <c r="G17" s="13"/>
      <c r="H17" s="13" t="s">
        <v>92</v>
      </c>
      <c r="J17" s="109" t="s">
        <v>81</v>
      </c>
      <c r="K17" s="112"/>
      <c r="L17" s="112"/>
      <c r="M17" s="112"/>
      <c r="N17" s="112"/>
      <c r="O17" s="112"/>
      <c r="P17" s="112"/>
      <c r="Q17" s="112"/>
      <c r="R17" s="112"/>
    </row>
    <row r="18" spans="2:18" x14ac:dyDescent="0.2">
      <c r="B18" t="str">
        <f t="shared" ref="B18:B25" si="1">L18</f>
        <v>FTE-TRAGAS</v>
      </c>
      <c r="C18" t="str">
        <f t="shared" ref="C18:C24" si="2">RIGHT(D18,3)</f>
        <v>GAS</v>
      </c>
      <c r="D18" t="str">
        <f t="shared" ref="D18:D25" si="3">L5</f>
        <v>TRAGAS</v>
      </c>
      <c r="E18" s="12"/>
      <c r="F18" s="12"/>
      <c r="G18" s="62">
        <v>1</v>
      </c>
      <c r="H18" s="63">
        <v>30</v>
      </c>
      <c r="J18" s="106" t="s">
        <v>112</v>
      </c>
      <c r="K18" s="110"/>
      <c r="L18" s="110" t="str">
        <f t="shared" ref="L18:L21" si="4">"FT"&amp;$G$2&amp;"-"&amp;L5</f>
        <v>FTE-TRAGAS</v>
      </c>
      <c r="M18" s="111" t="str">
        <f t="shared" ref="M18:M21" si="5">$D$2&amp;" Technology"&amp;" "&amp;$G$1&amp;" "&amp;M5</f>
        <v>Sector Fuel Technology Existing Transport Natural Gas</v>
      </c>
      <c r="N18" s="110" t="str">
        <f t="shared" ref="N18:N25" si="6">$E$2</f>
        <v>PJ</v>
      </c>
      <c r="O18" s="110" t="str">
        <f t="shared" ref="O18:O25" si="7">$E$2&amp;"a"</f>
        <v>PJa</v>
      </c>
      <c r="P18" s="110"/>
      <c r="Q18" s="110"/>
      <c r="R18" s="110"/>
    </row>
    <row r="19" spans="2:18" x14ac:dyDescent="0.2">
      <c r="B19" t="str">
        <f t="shared" si="1"/>
        <v>FTE-TRADSL</v>
      </c>
      <c r="C19" t="str">
        <f t="shared" si="2"/>
        <v>DSL</v>
      </c>
      <c r="D19" t="str">
        <f t="shared" si="3"/>
        <v>TRADSL</v>
      </c>
      <c r="E19" s="12"/>
      <c r="F19" s="12"/>
      <c r="G19" s="62">
        <v>1</v>
      </c>
      <c r="H19" s="63">
        <v>30</v>
      </c>
      <c r="J19" s="106"/>
      <c r="K19" s="110"/>
      <c r="L19" s="110" t="str">
        <f t="shared" si="4"/>
        <v>FTE-TRADSL</v>
      </c>
      <c r="M19" s="111" t="str">
        <f t="shared" si="5"/>
        <v>Sector Fuel Technology Existing Transport Diesel oil</v>
      </c>
      <c r="N19" s="110" t="str">
        <f t="shared" si="6"/>
        <v>PJ</v>
      </c>
      <c r="O19" s="110" t="str">
        <f t="shared" si="7"/>
        <v>PJa</v>
      </c>
      <c r="P19" s="110"/>
      <c r="Q19" s="110"/>
      <c r="R19" s="110"/>
    </row>
    <row r="20" spans="2:18" x14ac:dyDescent="0.2">
      <c r="B20" t="str">
        <f t="shared" si="1"/>
        <v>FTE-TRALPG</v>
      </c>
      <c r="C20" t="str">
        <f t="shared" si="2"/>
        <v>LPG</v>
      </c>
      <c r="D20" t="str">
        <f t="shared" si="3"/>
        <v>TRALPG</v>
      </c>
      <c r="E20" s="12"/>
      <c r="F20" s="12"/>
      <c r="G20" s="62">
        <v>1</v>
      </c>
      <c r="H20" s="63">
        <v>30</v>
      </c>
      <c r="J20" s="110"/>
      <c r="K20" s="110"/>
      <c r="L20" s="110" t="str">
        <f t="shared" si="4"/>
        <v>FTE-TRALPG</v>
      </c>
      <c r="M20" s="111" t="str">
        <f t="shared" si="5"/>
        <v>Sector Fuel Technology Existing Transport LPG</v>
      </c>
      <c r="N20" s="110" t="str">
        <f t="shared" si="6"/>
        <v>PJ</v>
      </c>
      <c r="O20" s="110" t="str">
        <f t="shared" si="7"/>
        <v>PJa</v>
      </c>
      <c r="P20" s="110"/>
      <c r="Q20" s="110"/>
      <c r="R20" s="110"/>
    </row>
    <row r="21" spans="2:18" x14ac:dyDescent="0.2">
      <c r="B21" t="str">
        <f t="shared" si="1"/>
        <v>FTE-TRAGSL</v>
      </c>
      <c r="C21" t="str">
        <f t="shared" si="2"/>
        <v>GSL</v>
      </c>
      <c r="D21" s="110" t="str">
        <f t="shared" si="3"/>
        <v>TRAGSL</v>
      </c>
      <c r="E21" s="12"/>
      <c r="F21" s="12"/>
      <c r="G21" s="62">
        <v>1</v>
      </c>
      <c r="H21" s="63">
        <v>30</v>
      </c>
      <c r="J21" s="110"/>
      <c r="K21" s="110"/>
      <c r="L21" s="110" t="str">
        <f t="shared" si="4"/>
        <v>FTE-TRAGSL</v>
      </c>
      <c r="M21" s="111" t="str">
        <f t="shared" si="5"/>
        <v>Sector Fuel Technology Existing Transport Motor spirit</v>
      </c>
      <c r="N21" s="110" t="str">
        <f t="shared" si="6"/>
        <v>PJ</v>
      </c>
      <c r="O21" s="110" t="str">
        <f t="shared" si="7"/>
        <v>PJa</v>
      </c>
      <c r="P21" s="110"/>
      <c r="Q21" s="110"/>
      <c r="R21" s="110"/>
    </row>
    <row r="22" spans="2:18" x14ac:dyDescent="0.2">
      <c r="B22" s="14" t="s">
        <v>199</v>
      </c>
      <c r="C22" s="14" t="s">
        <v>130</v>
      </c>
      <c r="D22" s="110" t="str">
        <f t="shared" si="3"/>
        <v>TRAHFO</v>
      </c>
      <c r="E22" s="157"/>
      <c r="F22" s="157"/>
      <c r="G22" s="158">
        <v>1</v>
      </c>
      <c r="H22" s="159">
        <v>30</v>
      </c>
      <c r="J22" s="110"/>
      <c r="K22" s="110"/>
      <c r="L22" s="173" t="s">
        <v>199</v>
      </c>
      <c r="M22" s="111" t="s">
        <v>201</v>
      </c>
      <c r="N22" s="110" t="s">
        <v>76</v>
      </c>
      <c r="O22" s="110" t="s">
        <v>198</v>
      </c>
      <c r="P22" s="110"/>
      <c r="Q22" s="110"/>
      <c r="R22" s="110"/>
    </row>
    <row r="23" spans="2:18" x14ac:dyDescent="0.2">
      <c r="B23" t="str">
        <f t="shared" si="1"/>
        <v>FTE-TRABIO</v>
      </c>
      <c r="C23" t="str">
        <f t="shared" si="2"/>
        <v>BIO</v>
      </c>
      <c r="D23" t="str">
        <f t="shared" si="3"/>
        <v>TRABIO</v>
      </c>
      <c r="E23" s="12"/>
      <c r="F23" s="12"/>
      <c r="G23" s="62">
        <v>1</v>
      </c>
      <c r="H23" s="63">
        <v>30</v>
      </c>
      <c r="J23" s="110"/>
      <c r="K23" s="110"/>
      <c r="L23" s="110" t="str">
        <f>"FT"&amp;$G$2&amp;"-"&amp;L10</f>
        <v>FTE-TRABIO</v>
      </c>
      <c r="M23" s="111" t="str">
        <f>$D$2&amp;" Technology"&amp;" "&amp;$G$1&amp;" "&amp;M10</f>
        <v>Sector Fuel Technology Existing Transport Biofuels</v>
      </c>
      <c r="N23" s="110" t="str">
        <f t="shared" si="6"/>
        <v>PJ</v>
      </c>
      <c r="O23" s="110" t="str">
        <f t="shared" si="7"/>
        <v>PJa</v>
      </c>
      <c r="P23" s="110"/>
      <c r="Q23" s="110"/>
      <c r="R23" s="110"/>
    </row>
    <row r="24" spans="2:18" x14ac:dyDescent="0.2">
      <c r="B24" t="str">
        <f t="shared" si="1"/>
        <v>FTE-TRAELC</v>
      </c>
      <c r="C24" t="str">
        <f t="shared" si="2"/>
        <v>ELC</v>
      </c>
      <c r="D24" t="str">
        <f t="shared" si="3"/>
        <v>TRAELC</v>
      </c>
      <c r="E24" s="12"/>
      <c r="F24" s="12"/>
      <c r="G24" s="62">
        <v>1</v>
      </c>
      <c r="H24" s="63">
        <v>30</v>
      </c>
      <c r="J24" s="110"/>
      <c r="K24" s="110"/>
      <c r="L24" s="110" t="str">
        <f>"FT"&amp;$G$2&amp;"-"&amp;L11</f>
        <v>FTE-TRAELC</v>
      </c>
      <c r="M24" s="111" t="str">
        <f>$D$2&amp;" Technology"&amp;" "&amp;$G$1&amp;" "&amp;M11</f>
        <v>Sector Fuel Technology Existing Transport Electricity</v>
      </c>
      <c r="N24" s="110" t="str">
        <f t="shared" si="6"/>
        <v>PJ</v>
      </c>
      <c r="O24" s="110" t="str">
        <f t="shared" si="7"/>
        <v>PJa</v>
      </c>
      <c r="P24" s="110" t="s">
        <v>121</v>
      </c>
      <c r="Q24" s="110"/>
      <c r="R24" s="110"/>
    </row>
    <row r="25" spans="2:18" x14ac:dyDescent="0.2">
      <c r="B25" t="str">
        <f t="shared" si="1"/>
        <v>FTE-TRAKER</v>
      </c>
      <c r="C25" s="122" t="s">
        <v>126</v>
      </c>
      <c r="D25" t="str">
        <f t="shared" si="3"/>
        <v>TRAKER</v>
      </c>
      <c r="E25" s="12"/>
      <c r="F25" s="12"/>
      <c r="G25" s="62">
        <v>1</v>
      </c>
      <c r="H25" s="63">
        <v>30</v>
      </c>
      <c r="J25" s="110"/>
      <c r="K25" s="110"/>
      <c r="L25" s="110" t="str">
        <f>"FT"&amp;$G$2&amp;"-"&amp;L12</f>
        <v>FTE-TRAKER</v>
      </c>
      <c r="M25" s="111" t="str">
        <f>$D$2&amp;" Technology"&amp;" "&amp;$G$1&amp;" "&amp;M12</f>
        <v>Sector Fuel Technology Existing Transport Kerosenes</v>
      </c>
      <c r="N25" s="110" t="str">
        <f t="shared" si="6"/>
        <v>PJ</v>
      </c>
      <c r="O25" s="110" t="str">
        <f t="shared" si="7"/>
        <v>PJa</v>
      </c>
      <c r="P25" s="110"/>
      <c r="Q25" s="110"/>
      <c r="R25" s="110"/>
    </row>
    <row r="26" spans="2:18" x14ac:dyDescent="0.2">
      <c r="B26" s="23"/>
      <c r="D26" s="23"/>
      <c r="E26" s="12"/>
      <c r="F26" s="12"/>
      <c r="G26" s="67"/>
      <c r="H26" s="11"/>
      <c r="M26" s="19"/>
    </row>
    <row r="27" spans="2:18" x14ac:dyDescent="0.2">
      <c r="B27" s="23"/>
      <c r="D27" s="23"/>
      <c r="E27" s="12"/>
      <c r="F27" s="12"/>
      <c r="G27" s="67"/>
      <c r="H27" s="11"/>
      <c r="J27" s="23"/>
      <c r="K27" s="23"/>
      <c r="M27" s="19"/>
    </row>
    <row r="28" spans="2:18" x14ac:dyDescent="0.2">
      <c r="B28" s="23"/>
      <c r="D28" s="23"/>
      <c r="E28" s="90"/>
      <c r="F28" s="12"/>
      <c r="G28" s="67"/>
      <c r="H28" s="11"/>
      <c r="J28" s="23"/>
      <c r="K28" s="23"/>
      <c r="M28" s="19"/>
    </row>
    <row r="29" spans="2:18" x14ac:dyDescent="0.2">
      <c r="B29" s="23"/>
      <c r="D29" s="23"/>
      <c r="E29" s="90"/>
      <c r="F29" s="12"/>
      <c r="G29" s="67"/>
      <c r="H29" s="11"/>
      <c r="J29" s="23"/>
      <c r="K29" s="23"/>
      <c r="M29" s="19"/>
    </row>
    <row r="30" spans="2:18" x14ac:dyDescent="0.2">
      <c r="B30" s="23"/>
      <c r="D30" s="23"/>
      <c r="E30" s="90"/>
      <c r="F30" s="12"/>
      <c r="G30" s="67"/>
      <c r="H30" s="11"/>
      <c r="M30" s="19"/>
    </row>
    <row r="31" spans="2:18" x14ac:dyDescent="0.2">
      <c r="B31" s="23"/>
      <c r="D31" s="23"/>
      <c r="E31" s="90"/>
      <c r="F31" s="12"/>
      <c r="G31" s="67"/>
      <c r="H31" s="11"/>
    </row>
    <row r="32" spans="2:18" x14ac:dyDescent="0.2">
      <c r="B32" s="23"/>
      <c r="D32" s="23"/>
      <c r="E32" s="12"/>
      <c r="F32" s="12"/>
      <c r="G32" s="67"/>
      <c r="H32" s="11"/>
    </row>
    <row r="33" spans="2:8" x14ac:dyDescent="0.2">
      <c r="B33" s="23"/>
      <c r="D33" s="23"/>
      <c r="E33" s="12"/>
      <c r="F33" s="12"/>
      <c r="G33" s="67"/>
      <c r="H33" s="11"/>
    </row>
    <row r="37" spans="2:8" x14ac:dyDescent="0.2">
      <c r="B37" s="42"/>
      <c r="C37" s="1" t="s">
        <v>154</v>
      </c>
    </row>
    <row r="38" spans="2:8" x14ac:dyDescent="0.2">
      <c r="B38" s="61"/>
      <c r="C38" s="1" t="s">
        <v>155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9"/>
  <sheetViews>
    <sheetView tabSelected="1" topLeftCell="A14" zoomScale="115" zoomScaleNormal="115" workbookViewId="0">
      <selection activeCell="K11" sqref="K11"/>
    </sheetView>
  </sheetViews>
  <sheetFormatPr defaultRowHeight="12.75" x14ac:dyDescent="0.2"/>
  <cols>
    <col min="1" max="1" width="3" customWidth="1"/>
    <col min="2" max="2" width="12.140625" bestFit="1" customWidth="1"/>
    <col min="3" max="3" width="12" customWidth="1"/>
    <col min="4" max="4" width="13.85546875" customWidth="1"/>
    <col min="5" max="5" width="12.28515625" bestFit="1" customWidth="1"/>
    <col min="6" max="6" width="13.140625" bestFit="1" customWidth="1"/>
    <col min="7" max="7" width="10.5703125" bestFit="1" customWidth="1"/>
    <col min="8" max="8" width="15.140625" bestFit="1" customWidth="1"/>
    <col min="9" max="9" width="15.5703125" bestFit="1" customWidth="1"/>
    <col min="10" max="10" width="8.85546875" customWidth="1"/>
    <col min="11" max="11" width="13.5703125" bestFit="1" customWidth="1"/>
    <col min="12" max="12" width="2" bestFit="1" customWidth="1"/>
    <col min="13" max="13" width="13.85546875" customWidth="1"/>
    <col min="14" max="14" width="2" customWidth="1"/>
    <col min="15" max="15" width="12.42578125" customWidth="1"/>
    <col min="16" max="16" width="7.140625" customWidth="1"/>
    <col min="17" max="17" width="11" customWidth="1"/>
    <col min="18" max="18" width="63.42578125" bestFit="1" customWidth="1"/>
    <col min="19" max="19" width="7.7109375" customWidth="1"/>
    <col min="20" max="20" width="12" customWidth="1"/>
    <col min="21" max="21" width="12.85546875" bestFit="1" customWidth="1"/>
    <col min="22" max="22" width="13.28515625" customWidth="1"/>
    <col min="23" max="23" width="8" bestFit="1" customWidth="1"/>
  </cols>
  <sheetData>
    <row r="1" spans="2:23" ht="15" x14ac:dyDescent="0.25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139</v>
      </c>
      <c r="H1" s="8" t="s">
        <v>100</v>
      </c>
      <c r="I1" s="27"/>
    </row>
    <row r="2" spans="2:23" ht="31.5" x14ac:dyDescent="0.25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M$2021</v>
      </c>
      <c r="G2" s="28" t="s">
        <v>140</v>
      </c>
      <c r="H2" s="10" t="s">
        <v>101</v>
      </c>
      <c r="I2" s="9"/>
      <c r="O2" s="105" t="s">
        <v>14</v>
      </c>
      <c r="P2" s="105"/>
      <c r="Q2" s="106"/>
      <c r="R2" s="106"/>
      <c r="S2" s="106"/>
      <c r="T2" s="106"/>
      <c r="U2" s="106"/>
      <c r="V2" s="106"/>
      <c r="W2" s="106"/>
    </row>
    <row r="3" spans="2:23" x14ac:dyDescent="0.2">
      <c r="O3" s="107" t="s">
        <v>7</v>
      </c>
      <c r="P3" s="108" t="s">
        <v>30</v>
      </c>
      <c r="Q3" s="107" t="s">
        <v>0</v>
      </c>
      <c r="R3" s="107" t="s">
        <v>3</v>
      </c>
      <c r="S3" s="107" t="s">
        <v>4</v>
      </c>
      <c r="T3" s="107" t="s">
        <v>8</v>
      </c>
      <c r="U3" s="107" t="s">
        <v>9</v>
      </c>
      <c r="V3" s="107" t="s">
        <v>10</v>
      </c>
      <c r="W3" s="107" t="s">
        <v>12</v>
      </c>
    </row>
    <row r="4" spans="2:23" ht="24" thickBot="1" x14ac:dyDescent="0.3">
      <c r="B4" s="9"/>
      <c r="C4" s="9"/>
      <c r="D4" s="9"/>
      <c r="E4" s="9"/>
      <c r="F4" s="9"/>
      <c r="O4" s="109" t="s">
        <v>37</v>
      </c>
      <c r="P4" s="109" t="s">
        <v>31</v>
      </c>
      <c r="Q4" s="109" t="s">
        <v>26</v>
      </c>
      <c r="R4" s="109" t="s">
        <v>27</v>
      </c>
      <c r="S4" s="109" t="s">
        <v>4</v>
      </c>
      <c r="T4" s="109" t="s">
        <v>40</v>
      </c>
      <c r="U4" s="109" t="s">
        <v>41</v>
      </c>
      <c r="V4" s="109" t="s">
        <v>28</v>
      </c>
      <c r="W4" s="109" t="s">
        <v>29</v>
      </c>
    </row>
    <row r="5" spans="2:23" ht="15.75" x14ac:dyDescent="0.25">
      <c r="B5" s="9"/>
      <c r="C5" s="9"/>
      <c r="D5" s="9"/>
      <c r="E5" s="9"/>
      <c r="F5" s="9"/>
      <c r="O5" s="106" t="s">
        <v>83</v>
      </c>
      <c r="P5" s="110"/>
      <c r="Q5" s="106" t="str">
        <f>LEFT($O$5,1)&amp;LEFT($B$2,1)&amp;'EB1'!$C$25</f>
        <v>DTCAR</v>
      </c>
      <c r="R5" s="106" t="str">
        <f>LEFT($D$2,6)&amp;" "&amp;$C$2&amp; " Sector - "&amp;'EB1'!$X$25</f>
        <v>Demand Transport Sector - Cars</v>
      </c>
      <c r="S5" s="106" t="s">
        <v>178</v>
      </c>
      <c r="T5" s="106"/>
      <c r="U5" s="106"/>
      <c r="V5" s="106"/>
      <c r="W5" s="106"/>
    </row>
    <row r="6" spans="2:23" ht="15.75" x14ac:dyDescent="0.25">
      <c r="B6" s="9"/>
      <c r="C6" s="9"/>
      <c r="D6" s="9"/>
      <c r="E6" s="9"/>
      <c r="F6" s="9"/>
      <c r="O6" s="106"/>
      <c r="P6" s="110"/>
      <c r="Q6" s="106" t="str">
        <f>LEFT($O$5,1)&amp;LEFT($B$2,1)&amp;'EB1'!$C$26</f>
        <v>DTPUB</v>
      </c>
      <c r="R6" s="106" t="str">
        <f>LEFT($D$2,6)&amp;" "&amp;$C$2&amp; " Sector - "&amp;'EB1'!$X$26</f>
        <v>Demand Transport Sector - Pub</v>
      </c>
      <c r="S6" s="106" t="s">
        <v>178</v>
      </c>
      <c r="T6" s="106"/>
      <c r="U6" s="106"/>
      <c r="V6" s="106"/>
      <c r="W6" s="106"/>
    </row>
    <row r="7" spans="2:23" ht="15.75" x14ac:dyDescent="0.25">
      <c r="B7" s="9"/>
      <c r="C7" s="9"/>
      <c r="D7" s="9"/>
      <c r="E7" s="9"/>
      <c r="F7" s="9"/>
      <c r="O7" s="106"/>
      <c r="P7" s="110"/>
      <c r="Q7" s="106" t="str">
        <f>LEFT($O$5,1)&amp;LEFT($B$2,1)&amp;'EB1'!$C$27</f>
        <v>DTMOT</v>
      </c>
      <c r="R7" s="106" t="str">
        <f>LEFT($D$2,6)&amp;" "&amp;$C$2&amp; " Sector - "&amp;'EB1'!$X$27</f>
        <v>Demand Transport Sector - Motor</v>
      </c>
      <c r="S7" s="106" t="s">
        <v>178</v>
      </c>
      <c r="T7" s="106"/>
      <c r="U7" s="106"/>
      <c r="V7" s="106"/>
      <c r="W7" s="106"/>
    </row>
    <row r="8" spans="2:23" ht="15.75" x14ac:dyDescent="0.25">
      <c r="B8" s="9"/>
      <c r="C8" s="9"/>
      <c r="D8" s="9"/>
      <c r="E8" s="9"/>
      <c r="F8" s="9"/>
      <c r="O8" s="106"/>
      <c r="P8" s="110"/>
      <c r="Q8" s="106" t="str">
        <f>LEFT($O$5,1)&amp;LEFT($B$2,1)&amp;'EB1'!$C$28</f>
        <v>DTTRI</v>
      </c>
      <c r="R8" s="106" t="str">
        <f>LEFT($D$2,6)&amp;" "&amp;$C$2&amp; " Sector - "&amp;'EB1'!$X$28</f>
        <v>Demand Transport Sector - Tri_Cycles</v>
      </c>
      <c r="S8" s="106" t="s">
        <v>178</v>
      </c>
      <c r="T8" s="106"/>
      <c r="U8" s="106"/>
      <c r="V8" s="106"/>
      <c r="W8" s="106"/>
    </row>
    <row r="9" spans="2:23" ht="15.75" x14ac:dyDescent="0.25">
      <c r="B9" s="9"/>
      <c r="C9" s="9"/>
      <c r="D9" s="9"/>
      <c r="E9" s="9"/>
      <c r="F9" s="9"/>
      <c r="O9" s="106"/>
      <c r="P9" s="110"/>
      <c r="Q9" s="106" t="str">
        <f>LEFT($O$5,1)&amp;LEFT($B$2,1)&amp;'EB1'!$C$29</f>
        <v>DTFRE</v>
      </c>
      <c r="R9" s="106" t="str">
        <f>LEFT($D$2,6)&amp;" "&amp;$C$2&amp; " Sector - "&amp;'EB1'!$X$29</f>
        <v>Demand Transport Sector - Freight_Truck</v>
      </c>
      <c r="S9" s="106" t="s">
        <v>178</v>
      </c>
      <c r="T9" s="106"/>
      <c r="U9" s="106"/>
      <c r="V9" s="106"/>
      <c r="W9" s="106"/>
    </row>
    <row r="10" spans="2:23" ht="15.75" x14ac:dyDescent="0.25">
      <c r="B10" s="9"/>
      <c r="C10" s="9"/>
      <c r="D10" s="9"/>
      <c r="E10" s="9"/>
      <c r="F10" s="9"/>
      <c r="O10" s="106"/>
      <c r="P10" s="110"/>
      <c r="Q10" s="106" t="str">
        <f>LEFT($O$5,1)&amp;LEFT($B$2,1)&amp;'EB1'!$C$30</f>
        <v>DTAVI</v>
      </c>
      <c r="R10" s="106" t="str">
        <f>LEFT($D$2,6)&amp;" "&amp;$C$2&amp; " Sector - "&amp;'EB1'!$X$30</f>
        <v>Demand Transport Sector - Aviation</v>
      </c>
      <c r="S10" s="106" t="s">
        <v>178</v>
      </c>
      <c r="T10" s="106"/>
      <c r="U10" s="106"/>
      <c r="V10" s="106"/>
      <c r="W10" s="106"/>
    </row>
    <row r="11" spans="2:23" ht="15.75" x14ac:dyDescent="0.25">
      <c r="B11" s="9"/>
      <c r="C11" s="9"/>
      <c r="D11" s="9"/>
      <c r="E11" s="9"/>
      <c r="F11" s="9"/>
      <c r="O11" s="106"/>
      <c r="P11" s="110"/>
      <c r="Q11" s="173" t="str">
        <f>LEFT($O$5,1)&amp;LEFT($B$2,1)&amp;'EB1'!$C$31</f>
        <v>DTRAI</v>
      </c>
      <c r="R11" s="173" t="str">
        <f>LEFT($D$2,6)&amp;" "&amp;$C$2&amp; " Sector - "&amp;'EB1'!$X$31</f>
        <v>Demand Transport Sector - Railway</v>
      </c>
      <c r="S11" s="106" t="s">
        <v>178</v>
      </c>
      <c r="T11" s="106"/>
      <c r="U11" s="106"/>
      <c r="V11" s="106"/>
      <c r="W11" s="106"/>
    </row>
    <row r="12" spans="2:23" ht="15.75" x14ac:dyDescent="0.25">
      <c r="B12" s="9"/>
      <c r="C12" s="9"/>
      <c r="D12" s="9"/>
      <c r="E12" s="155">
        <f>SUM(E24:E24)</f>
        <v>2134.2261517623533</v>
      </c>
      <c r="F12" s="9"/>
      <c r="O12" s="106"/>
      <c r="P12" s="110"/>
      <c r="Q12" s="106" t="str">
        <f>LEFT($O$5,1)&amp;LEFT($B$2,1)&amp;'EB1'!$C$32</f>
        <v>DTMAR</v>
      </c>
      <c r="R12" s="106" t="str">
        <f>LEFT($D$2,6)&amp;" "&amp;$C$2&amp; " Sector - "&amp;'EB1'!$X$32</f>
        <v>Demand Transport Sector - Marine</v>
      </c>
      <c r="S12" s="106" t="s">
        <v>178</v>
      </c>
      <c r="T12" s="106"/>
      <c r="U12" s="106"/>
      <c r="V12" s="106"/>
      <c r="W12" s="106"/>
    </row>
    <row r="13" spans="2:23" x14ac:dyDescent="0.2">
      <c r="E13" s="154"/>
      <c r="O13" s="110" t="s">
        <v>105</v>
      </c>
      <c r="P13" s="110"/>
      <c r="Q13" s="110" t="str">
        <f>$B$2&amp;'EB1'!$C$35</f>
        <v>TRACO2</v>
      </c>
      <c r="R13" s="110" t="str">
        <f>$C$2&amp;" "&amp;'EB1'!$C$36</f>
        <v>Transport Carbon dioxide</v>
      </c>
      <c r="S13" s="110" t="str">
        <f>'EB1'!$AA$2</f>
        <v>kt</v>
      </c>
      <c r="T13" s="110"/>
      <c r="U13" s="110"/>
      <c r="V13" s="110"/>
      <c r="W13" s="110"/>
    </row>
    <row r="15" spans="2:23" x14ac:dyDescent="0.2">
      <c r="D15" s="5" t="s">
        <v>13</v>
      </c>
      <c r="E15" s="5"/>
      <c r="G15" s="5"/>
      <c r="I15" s="4"/>
      <c r="J15" s="14"/>
      <c r="O15" s="105" t="s">
        <v>15</v>
      </c>
      <c r="P15" s="105"/>
      <c r="Q15" s="110"/>
      <c r="R15" s="110"/>
      <c r="S15" s="110"/>
      <c r="T15" s="110"/>
      <c r="U15" s="110"/>
      <c r="V15" s="110"/>
      <c r="W15" s="110"/>
    </row>
    <row r="16" spans="2:23" x14ac:dyDescent="0.2">
      <c r="B16" s="17" t="s">
        <v>1</v>
      </c>
      <c r="C16" s="17" t="s">
        <v>5</v>
      </c>
      <c r="D16" s="17" t="s">
        <v>6</v>
      </c>
      <c r="E16" s="70" t="s">
        <v>123</v>
      </c>
      <c r="F16" s="70" t="s">
        <v>85</v>
      </c>
      <c r="G16" s="70" t="s">
        <v>98</v>
      </c>
      <c r="H16" s="70" t="s">
        <v>142</v>
      </c>
      <c r="I16" s="70" t="s">
        <v>84</v>
      </c>
      <c r="J16" s="70" t="s">
        <v>79</v>
      </c>
      <c r="K16" s="70" t="s">
        <v>173</v>
      </c>
      <c r="L16" s="24"/>
      <c r="M16" s="26" t="s">
        <v>118</v>
      </c>
      <c r="O16" s="107" t="s">
        <v>11</v>
      </c>
      <c r="P16" s="108" t="s">
        <v>30</v>
      </c>
      <c r="Q16" s="107" t="s">
        <v>1</v>
      </c>
      <c r="R16" s="107" t="s">
        <v>2</v>
      </c>
      <c r="S16" s="107" t="s">
        <v>16</v>
      </c>
      <c r="T16" s="107" t="s">
        <v>17</v>
      </c>
      <c r="U16" s="107" t="s">
        <v>18</v>
      </c>
      <c r="V16" s="107" t="s">
        <v>19</v>
      </c>
      <c r="W16" s="107" t="s">
        <v>20</v>
      </c>
    </row>
    <row r="17" spans="2:23" ht="23.25" thickBot="1" x14ac:dyDescent="0.25">
      <c r="B17" s="16" t="s">
        <v>39</v>
      </c>
      <c r="C17" s="16" t="s">
        <v>32</v>
      </c>
      <c r="D17" s="16" t="s">
        <v>33</v>
      </c>
      <c r="E17" s="16" t="s">
        <v>34</v>
      </c>
      <c r="F17" s="16" t="s">
        <v>90</v>
      </c>
      <c r="G17" s="81" t="s">
        <v>99</v>
      </c>
      <c r="H17" s="81" t="s">
        <v>144</v>
      </c>
      <c r="I17" s="16" t="s">
        <v>96</v>
      </c>
      <c r="J17" s="16" t="s">
        <v>172</v>
      </c>
      <c r="K17" s="16" t="s">
        <v>174</v>
      </c>
      <c r="L17" s="29"/>
      <c r="M17" s="103" t="s">
        <v>35</v>
      </c>
      <c r="O17" s="109" t="s">
        <v>38</v>
      </c>
      <c r="P17" s="109" t="s">
        <v>31</v>
      </c>
      <c r="Q17" s="109" t="s">
        <v>21</v>
      </c>
      <c r="R17" s="109" t="s">
        <v>22</v>
      </c>
      <c r="S17" s="109" t="s">
        <v>23</v>
      </c>
      <c r="T17" s="109" t="s">
        <v>24</v>
      </c>
      <c r="U17" s="109" t="s">
        <v>43</v>
      </c>
      <c r="V17" s="109" t="s">
        <v>42</v>
      </c>
      <c r="W17" s="109" t="s">
        <v>25</v>
      </c>
    </row>
    <row r="18" spans="2:23" ht="13.5" thickBot="1" x14ac:dyDescent="0.25">
      <c r="B18" s="15" t="s">
        <v>91</v>
      </c>
      <c r="C18" s="15"/>
      <c r="D18" s="15"/>
      <c r="E18" s="13" t="str">
        <f>G2</f>
        <v>000_Units</v>
      </c>
      <c r="F18" s="13" t="s">
        <v>175</v>
      </c>
      <c r="G18" s="148" t="s">
        <v>147</v>
      </c>
      <c r="H18" s="143" t="s">
        <v>143</v>
      </c>
      <c r="I18" s="13" t="str">
        <f>$F$2&amp;"/"&amp;G2&amp;"a"</f>
        <v>M$2021/000_Unitsa</v>
      </c>
      <c r="J18" s="71" t="s">
        <v>92</v>
      </c>
      <c r="K18" s="13" t="s">
        <v>176</v>
      </c>
      <c r="L18" s="29"/>
      <c r="M18" s="104" t="s">
        <v>177</v>
      </c>
      <c r="O18" s="109" t="s">
        <v>81</v>
      </c>
      <c r="P18" s="109"/>
      <c r="Q18" s="109"/>
      <c r="R18" s="109"/>
      <c r="S18" s="109"/>
      <c r="T18" s="109"/>
      <c r="U18" s="109"/>
      <c r="V18" s="109"/>
      <c r="W18" s="109"/>
    </row>
    <row r="19" spans="2:23" x14ac:dyDescent="0.2">
      <c r="B19" s="127" t="str">
        <f t="shared" ref="B19:B23" si="0">Q19</f>
        <v>TCAREDSL</v>
      </c>
      <c r="C19" s="128" t="str">
        <f t="shared" ref="C19:C23" si="1">$B$2&amp;RIGHT(B19,3)</f>
        <v>TRADSL</v>
      </c>
      <c r="D19" s="129" t="str">
        <f t="shared" ref="D19:D21" si="2">$Q$5</f>
        <v>DTCAR</v>
      </c>
      <c r="E19" s="60">
        <f>('EB1'!G$9*'EB1'!$G$25*F19/(K19*G19))*1.01</f>
        <v>312.1847672804509</v>
      </c>
      <c r="F19" s="144">
        <v>0.41</v>
      </c>
      <c r="G19" s="149">
        <v>16.5</v>
      </c>
      <c r="H19" s="140">
        <v>1.25</v>
      </c>
      <c r="I19" s="64">
        <v>0.16</v>
      </c>
      <c r="J19" s="151">
        <v>10</v>
      </c>
      <c r="K19" s="66">
        <v>1E-3</v>
      </c>
      <c r="M19" s="126">
        <f t="shared" ref="M19:M21" si="3">E19*G19*K19*H19</f>
        <v>6.4388108251593001</v>
      </c>
      <c r="O19" s="106" t="s">
        <v>97</v>
      </c>
      <c r="P19" s="110"/>
      <c r="Q19" s="110" t="str">
        <f>LEFT($B$2)&amp;'EB1'!$C$25&amp;$H$2&amp;'EB1'!$G$2</f>
        <v>TCAREDSL</v>
      </c>
      <c r="R19" s="111" t="str">
        <f>$D$2&amp;" "&amp;$C$2&amp; " Sector - "&amp;""&amp;$H$1&amp;" "&amp;'EB1'!$X$25&amp;" - "&amp;'EB1'!$G$3</f>
        <v>Demand Technologies Transport Sector - Existing Cars - Diesel oil</v>
      </c>
      <c r="S19" s="106" t="s">
        <v>178</v>
      </c>
      <c r="T19" s="106" t="str">
        <f t="shared" ref="T19:T31" si="4">$G$2</f>
        <v>000_Units</v>
      </c>
      <c r="U19" s="110"/>
      <c r="V19" s="106" t="s">
        <v>141</v>
      </c>
      <c r="W19" s="110"/>
    </row>
    <row r="20" spans="2:23" x14ac:dyDescent="0.2">
      <c r="B20" s="130" t="str">
        <f t="shared" si="0"/>
        <v>TCARELPG</v>
      </c>
      <c r="C20" t="str">
        <f t="shared" si="1"/>
        <v>TRALPG</v>
      </c>
      <c r="D20" s="131" t="str">
        <f t="shared" si="2"/>
        <v>DTCAR</v>
      </c>
      <c r="E20" s="120">
        <f>('EB1'!I$9*'EB1'!$I$25*F20/(K20*G20))*1.01</f>
        <v>4.0617685149942853</v>
      </c>
      <c r="F20" s="145">
        <v>0.38</v>
      </c>
      <c r="G20" s="149">
        <v>14</v>
      </c>
      <c r="H20" s="140">
        <v>1.25</v>
      </c>
      <c r="I20" s="65">
        <v>0.16</v>
      </c>
      <c r="J20" s="151">
        <v>10</v>
      </c>
      <c r="K20" s="66">
        <v>1E-3</v>
      </c>
      <c r="M20" s="126">
        <f t="shared" si="3"/>
        <v>7.1080949012400002E-2</v>
      </c>
      <c r="O20" s="106" t="s">
        <v>97</v>
      </c>
      <c r="P20" s="110"/>
      <c r="Q20" s="110" t="str">
        <f>LEFT($B$2)&amp;'EB1'!$C$25&amp;$H$2&amp;'EB1'!$I$2</f>
        <v>TCARELPG</v>
      </c>
      <c r="R20" s="111" t="str">
        <f>$D$2&amp;" "&amp;$C$2&amp; " Sector - "&amp;""&amp;$H$1&amp;" "&amp;'EB1'!$X$25&amp;" - "&amp;'EB1'!$I$3</f>
        <v>Demand Technologies Transport Sector - Existing Cars - LPG</v>
      </c>
      <c r="S20" s="106" t="s">
        <v>178</v>
      </c>
      <c r="T20" s="106" t="str">
        <f t="shared" si="4"/>
        <v>000_Units</v>
      </c>
      <c r="U20" s="110"/>
      <c r="V20" s="106" t="s">
        <v>141</v>
      </c>
      <c r="W20" s="110"/>
    </row>
    <row r="21" spans="2:23" x14ac:dyDescent="0.2">
      <c r="B21" s="132" t="str">
        <f t="shared" si="0"/>
        <v>TCAREGSL</v>
      </c>
      <c r="C21" s="133" t="str">
        <f t="shared" si="1"/>
        <v>TRAGSL</v>
      </c>
      <c r="D21" s="134" t="str">
        <f t="shared" si="2"/>
        <v>DTCAR</v>
      </c>
      <c r="E21" s="60">
        <f>('EB1'!J$9*'EB1'!$J$25*F21/(K21*G21))*1.01</f>
        <v>500.78460427826104</v>
      </c>
      <c r="F21" s="146">
        <v>0.4</v>
      </c>
      <c r="G21" s="149">
        <v>11.5</v>
      </c>
      <c r="H21" s="140">
        <v>1.25</v>
      </c>
      <c r="I21" s="64">
        <v>0.15</v>
      </c>
      <c r="J21" s="151">
        <v>10</v>
      </c>
      <c r="K21" s="66">
        <v>1E-3</v>
      </c>
      <c r="M21" s="126">
        <f t="shared" si="3"/>
        <v>7.1987786865000025</v>
      </c>
      <c r="O21" s="106" t="s">
        <v>97</v>
      </c>
      <c r="P21" s="110"/>
      <c r="Q21" s="110" t="str">
        <f>LEFT($B$2)&amp;'EB1'!$C$25&amp;$H$2&amp;'EB1'!$J$2</f>
        <v>TCAREGSL</v>
      </c>
      <c r="R21" s="110" t="str">
        <f>$D$2&amp;" "&amp;$C$2&amp; " Sector - "&amp;""&amp;$H$1&amp;" "&amp;'EB1'!$X$25&amp;" - "&amp;'EB1'!$J$3</f>
        <v>Demand Technologies Transport Sector - Existing Cars - Motor spirit</v>
      </c>
      <c r="S21" s="106" t="s">
        <v>178</v>
      </c>
      <c r="T21" s="106" t="str">
        <f t="shared" si="4"/>
        <v>000_Units</v>
      </c>
      <c r="U21" s="110"/>
      <c r="V21" s="106" t="s">
        <v>141</v>
      </c>
      <c r="W21" s="110"/>
    </row>
    <row r="22" spans="2:23" x14ac:dyDescent="0.2">
      <c r="B22" s="127" t="str">
        <f t="shared" si="0"/>
        <v>TPUBEDSL</v>
      </c>
      <c r="C22" s="128" t="str">
        <f t="shared" si="1"/>
        <v>TRADSL</v>
      </c>
      <c r="D22" s="129" t="str">
        <f t="shared" ref="D22:D23" si="5">$Q$6</f>
        <v>DTPUB</v>
      </c>
      <c r="E22" s="60">
        <f>('EB1'!G$9*'EB1'!$G$26*F22/(K22*G22))*1.01</f>
        <v>11.747719465605817</v>
      </c>
      <c r="F22" s="144">
        <v>0.09</v>
      </c>
      <c r="G22" s="149">
        <v>55</v>
      </c>
      <c r="H22" s="140">
        <v>15</v>
      </c>
      <c r="I22" s="64">
        <v>0.24</v>
      </c>
      <c r="J22" s="151">
        <v>30</v>
      </c>
      <c r="K22" s="66">
        <v>1E-3</v>
      </c>
      <c r="M22" s="126">
        <f>E22*G22*K22*H22</f>
        <v>9.6918685591247993</v>
      </c>
      <c r="O22" s="106" t="s">
        <v>97</v>
      </c>
      <c r="P22" s="110"/>
      <c r="Q22" s="110" t="str">
        <f>LEFT($B$2)&amp;'EB1'!$C$26&amp;$H$2&amp;'EB1'!$G$2</f>
        <v>TPUBEDSL</v>
      </c>
      <c r="R22" s="111" t="str">
        <f>$D$2&amp;" "&amp;$C$2&amp; " Sector - "&amp;""&amp;$H$1&amp;" "&amp;'EB1'!$X$26&amp;" - "&amp;'EB1'!$G$3</f>
        <v>Demand Technologies Transport Sector - Existing Pub - Diesel oil</v>
      </c>
      <c r="S22" s="106" t="s">
        <v>178</v>
      </c>
      <c r="T22" s="106" t="str">
        <f t="shared" si="4"/>
        <v>000_Units</v>
      </c>
      <c r="U22" s="110"/>
      <c r="V22" s="106" t="s">
        <v>141</v>
      </c>
      <c r="W22" s="110"/>
    </row>
    <row r="23" spans="2:23" x14ac:dyDescent="0.2">
      <c r="B23" s="132" t="str">
        <f t="shared" si="0"/>
        <v>TPUBELPG</v>
      </c>
      <c r="C23" s="133" t="str">
        <f t="shared" si="1"/>
        <v>TRALPG</v>
      </c>
      <c r="D23" s="134" t="str">
        <f t="shared" si="5"/>
        <v>DTPUB</v>
      </c>
      <c r="E23" s="120">
        <f>('EB1'!I$9*'EB1'!$I$26*F23/(K23*G23))*1.01</f>
        <v>0.2584761782269091</v>
      </c>
      <c r="F23" s="150">
        <v>0.38</v>
      </c>
      <c r="G23" s="149">
        <v>55</v>
      </c>
      <c r="H23" s="140">
        <v>15</v>
      </c>
      <c r="I23" s="65">
        <v>0.16</v>
      </c>
      <c r="J23" s="151">
        <v>30</v>
      </c>
      <c r="K23" s="66">
        <v>1E-3</v>
      </c>
      <c r="M23" s="126">
        <f t="shared" ref="M23" si="6">E23*G23*K23*H23</f>
        <v>0.21324284703720003</v>
      </c>
      <c r="O23" s="106" t="s">
        <v>97</v>
      </c>
      <c r="P23" s="110"/>
      <c r="Q23" s="110" t="str">
        <f>LEFT($B$2)&amp;'EB1'!$C$26&amp;$H$2&amp;'EB1'!$I$2</f>
        <v>TPUBELPG</v>
      </c>
      <c r="R23" s="111" t="str">
        <f>$D$2&amp;" "&amp;$C$2&amp; " Sector - "&amp;""&amp;$H$1&amp;" "&amp;'EB1'!$X$26&amp;" - "&amp;'EB1'!$I$3</f>
        <v>Demand Technologies Transport Sector - Existing Pub - LPG</v>
      </c>
      <c r="S23" s="106" t="s">
        <v>178</v>
      </c>
      <c r="T23" s="106" t="str">
        <f t="shared" si="4"/>
        <v>000_Units</v>
      </c>
      <c r="U23" s="110"/>
      <c r="V23" s="106" t="s">
        <v>141</v>
      </c>
      <c r="W23" s="110"/>
    </row>
    <row r="24" spans="2:23" x14ac:dyDescent="0.2">
      <c r="B24" s="135" t="str">
        <f t="shared" ref="B24" si="7">Q24</f>
        <v>TMOTEGSL</v>
      </c>
      <c r="C24" s="136" t="str">
        <f t="shared" ref="C24" si="8">$B$2&amp;RIGHT(B24,3)</f>
        <v>TRAGSL</v>
      </c>
      <c r="D24" s="137" t="str">
        <f t="shared" ref="D24" si="9">$Q$7</f>
        <v>DTMOT</v>
      </c>
      <c r="E24" s="60">
        <f>('EB1'!J$9*'EB1'!$J$27*F24/(K24*G24))*1.01</f>
        <v>2134.2261517623533</v>
      </c>
      <c r="F24" s="147">
        <v>1.4</v>
      </c>
      <c r="G24" s="151">
        <v>8.5</v>
      </c>
      <c r="H24" s="140">
        <v>1.25</v>
      </c>
      <c r="I24" s="64">
        <v>0.15</v>
      </c>
      <c r="J24" s="151">
        <v>10</v>
      </c>
      <c r="K24" s="66">
        <v>1E-3</v>
      </c>
      <c r="M24" s="126">
        <f t="shared" ref="M24" si="10">E24*G24*K24*H24</f>
        <v>22.676152862475007</v>
      </c>
      <c r="O24" s="106" t="s">
        <v>97</v>
      </c>
      <c r="P24" s="110"/>
      <c r="Q24" s="110" t="str">
        <f>LEFT($B$2)&amp;'EB1'!$C$27&amp;$H$2&amp;'EB1'!$J$2</f>
        <v>TMOTEGSL</v>
      </c>
      <c r="R24" s="110" t="str">
        <f>$D$2&amp;" "&amp;$C$2&amp; " Sector - "&amp;""&amp;$H$1&amp;" "&amp;'EB1'!$X$27&amp;" - "&amp;'EB1'!$J$3</f>
        <v>Demand Technologies Transport Sector - Existing Motor - Motor spirit</v>
      </c>
      <c r="S24" s="106" t="s">
        <v>178</v>
      </c>
      <c r="T24" s="106" t="str">
        <f t="shared" si="4"/>
        <v>000_Units</v>
      </c>
      <c r="U24" s="110"/>
      <c r="V24" s="106" t="s">
        <v>141</v>
      </c>
      <c r="W24" s="110"/>
    </row>
    <row r="25" spans="2:23" x14ac:dyDescent="0.2">
      <c r="B25" s="164" t="str">
        <f t="shared" ref="B25" si="11">Q25</f>
        <v>TRAIEHFO</v>
      </c>
      <c r="C25" s="165" t="str">
        <f t="shared" ref="C25" si="12">$B$2&amp;RIGHT(B25,3)</f>
        <v>TRAHFO</v>
      </c>
      <c r="D25" s="166" t="str">
        <f t="shared" ref="D25" si="13">$Q$11</f>
        <v>DTRAI</v>
      </c>
      <c r="E25" s="167">
        <f>('EB1'!G$9*'EB1'!$L$31*F25/(K25*G25))*1.01</f>
        <v>1196.526982608</v>
      </c>
      <c r="F25" s="168">
        <v>1</v>
      </c>
      <c r="G25" s="169">
        <v>50</v>
      </c>
      <c r="H25" s="170">
        <v>1</v>
      </c>
      <c r="I25" s="170">
        <v>0.24</v>
      </c>
      <c r="J25" s="171">
        <v>30</v>
      </c>
      <c r="K25" s="172">
        <v>1E-3</v>
      </c>
      <c r="M25" s="126">
        <f>E25*G25*K25*H25</f>
        <v>59.826349130399997</v>
      </c>
      <c r="O25" s="106" t="s">
        <v>97</v>
      </c>
      <c r="P25" s="110"/>
      <c r="Q25" s="173" t="str">
        <f>LEFT($B$2)&amp;'EB1'!$C$31&amp;$H$2&amp;'EB1'!$L$2</f>
        <v>TRAIEHFO</v>
      </c>
      <c r="R25" s="111" t="str">
        <f>$D$2&amp;" "&amp;$C$2&amp; " Sector - "&amp;""&amp;$H$1&amp;" "&amp;'EB1'!$X$27&amp;" - "&amp;'EB1'!$L$3</f>
        <v>Demand Technologies Transport Sector - Existing Motor - Heavy Fuel Oil</v>
      </c>
      <c r="S25" s="106" t="s">
        <v>178</v>
      </c>
      <c r="T25" s="106" t="str">
        <f t="shared" si="4"/>
        <v>000_Units</v>
      </c>
      <c r="U25" s="110"/>
      <c r="V25" s="106" t="s">
        <v>141</v>
      </c>
      <c r="W25" s="110"/>
    </row>
    <row r="26" spans="2:23" x14ac:dyDescent="0.2">
      <c r="B26" s="127" t="str">
        <f t="shared" ref="B26:B27" si="14">Q26</f>
        <v>TTRIELPG</v>
      </c>
      <c r="C26" s="128" t="str">
        <f t="shared" ref="C26:C27" si="15">$B$2&amp;RIGHT(B26,3)</f>
        <v>TRALPG</v>
      </c>
      <c r="D26" s="129" t="str">
        <f t="shared" ref="D26:D27" si="16">$Q$8</f>
        <v>DTTRI</v>
      </c>
      <c r="E26" s="60">
        <f>('EB1'!I$9*'EB1'!$I$28*F26/(K26*G26))*1.01</f>
        <v>41.435545237690903</v>
      </c>
      <c r="F26" s="144">
        <v>0.86</v>
      </c>
      <c r="G26" s="151">
        <v>22</v>
      </c>
      <c r="H26" s="140">
        <v>2.5</v>
      </c>
      <c r="I26" s="64">
        <v>0.24</v>
      </c>
      <c r="J26" s="151">
        <v>10</v>
      </c>
      <c r="K26" s="66">
        <v>1E-3</v>
      </c>
      <c r="M26" s="126">
        <f>E26*G26*K26*H26</f>
        <v>2.2789549880729996</v>
      </c>
      <c r="O26" s="106" t="s">
        <v>97</v>
      </c>
      <c r="P26" s="110"/>
      <c r="Q26" s="110" t="str">
        <f>LEFT($B$2)&amp;'EB1'!$C$28&amp;$H$2&amp;'EB1'!$I$2</f>
        <v>TTRIELPG</v>
      </c>
      <c r="R26" s="111" t="str">
        <f>$D$2&amp;" "&amp;$C$2&amp; " Sector - "&amp;""&amp;$H$1&amp;" "&amp;'EB1'!$X$27&amp;" - "&amp;'EB1'!$I$3</f>
        <v>Demand Technologies Transport Sector - Existing Motor - LPG</v>
      </c>
      <c r="S26" s="106" t="s">
        <v>178</v>
      </c>
      <c r="T26" s="106" t="str">
        <f t="shared" si="4"/>
        <v>000_Units</v>
      </c>
      <c r="U26" s="110"/>
      <c r="V26" s="106" t="s">
        <v>141</v>
      </c>
      <c r="W26" s="110"/>
    </row>
    <row r="27" spans="2:23" x14ac:dyDescent="0.2">
      <c r="B27" s="132" t="str">
        <f t="shared" si="14"/>
        <v>TTRIEGSL</v>
      </c>
      <c r="C27" s="133" t="str">
        <f t="shared" si="15"/>
        <v>TRAGSL</v>
      </c>
      <c r="D27" s="134" t="str">
        <f t="shared" si="16"/>
        <v>DTTRI</v>
      </c>
      <c r="E27" s="60">
        <f>('EB1'!J$9*'EB1'!$J$28*F27/(K27*G27))*1.01</f>
        <v>45.155975397136373</v>
      </c>
      <c r="F27" s="146">
        <v>0.69</v>
      </c>
      <c r="G27" s="151">
        <v>22</v>
      </c>
      <c r="H27" s="140">
        <v>2.5</v>
      </c>
      <c r="I27" s="64">
        <v>0.22499999999999998</v>
      </c>
      <c r="J27" s="151">
        <v>10</v>
      </c>
      <c r="K27" s="66">
        <v>1E-3</v>
      </c>
      <c r="M27" s="126">
        <f t="shared" ref="M27" si="17">E27*G27*K27*H27</f>
        <v>2.4835786468425005</v>
      </c>
      <c r="O27" s="106" t="s">
        <v>97</v>
      </c>
      <c r="P27" s="110"/>
      <c r="Q27" s="110" t="str">
        <f>LEFT($B$2)&amp;'EB1'!$C$28&amp;$H$2&amp;'EB1'!$J$2</f>
        <v>TTRIEGSL</v>
      </c>
      <c r="R27" s="110" t="str">
        <f>$D$2&amp;" "&amp;$C$2&amp; " Sector - "&amp;""&amp;$H$1&amp;" "&amp;'EB1'!$X$27&amp;" - "&amp;'EB1'!$J$3</f>
        <v>Demand Technologies Transport Sector - Existing Motor - Motor spirit</v>
      </c>
      <c r="S27" s="106" t="s">
        <v>178</v>
      </c>
      <c r="T27" s="106" t="str">
        <f t="shared" si="4"/>
        <v>000_Units</v>
      </c>
      <c r="U27" s="110"/>
      <c r="V27" s="106" t="s">
        <v>141</v>
      </c>
      <c r="W27" s="110"/>
    </row>
    <row r="28" spans="2:23" x14ac:dyDescent="0.2">
      <c r="B28" s="135" t="str">
        <f t="shared" ref="B28" si="18">Q28</f>
        <v>TFREEDSL</v>
      </c>
      <c r="C28" s="136" t="str">
        <f t="shared" ref="C28" si="19">$B$2&amp;RIGHT(B28,3)</f>
        <v>TRADSL</v>
      </c>
      <c r="D28" s="138" t="str">
        <f t="shared" ref="D28" si="20">$Q$9</f>
        <v>DTFRE</v>
      </c>
      <c r="E28" s="60">
        <f>('EB1'!G$9*'EB1'!$G$29*F28/(K28*G28))*1.01</f>
        <v>203.52923974162081</v>
      </c>
      <c r="F28" s="144">
        <v>0.27</v>
      </c>
      <c r="G28" s="151">
        <v>50</v>
      </c>
      <c r="H28" s="140">
        <v>1</v>
      </c>
      <c r="I28" s="64">
        <v>0.24</v>
      </c>
      <c r="J28" s="42">
        <v>30</v>
      </c>
      <c r="K28" s="66">
        <v>1E-3</v>
      </c>
      <c r="M28" s="126">
        <f>E28*G28*K28*H28</f>
        <v>10.176461987081041</v>
      </c>
      <c r="O28" s="106" t="s">
        <v>97</v>
      </c>
      <c r="P28" s="110"/>
      <c r="Q28" s="110" t="str">
        <f>LEFT($B$2)&amp;'EB1'!$C$29&amp;$H$2&amp;'EB1'!$G$2</f>
        <v>TFREEDSL</v>
      </c>
      <c r="R28" s="111" t="str">
        <f>$D$2&amp;" "&amp;$C$2&amp; " Sector - "&amp;""&amp;$H$1&amp;" "&amp;'EB1'!$X$27&amp;" - "&amp;'EB1'!$G$3</f>
        <v>Demand Technologies Transport Sector - Existing Motor - Diesel oil</v>
      </c>
      <c r="S28" s="106" t="s">
        <v>178</v>
      </c>
      <c r="T28" s="106" t="str">
        <f t="shared" si="4"/>
        <v>000_Units</v>
      </c>
      <c r="U28" s="110"/>
      <c r="V28" s="106" t="s">
        <v>141</v>
      </c>
      <c r="W28" s="110"/>
    </row>
    <row r="29" spans="2:23" x14ac:dyDescent="0.2">
      <c r="B29" s="135" t="str">
        <f t="shared" ref="B29" si="21">Q29</f>
        <v>TAVIEKER</v>
      </c>
      <c r="C29" s="136" t="str">
        <f t="shared" ref="C29" si="22">$B$2&amp;RIGHT(B29,3)</f>
        <v>TRAKER</v>
      </c>
      <c r="D29" s="138" t="str">
        <f t="shared" ref="D29" si="23">$Q$10</f>
        <v>DTAVI</v>
      </c>
      <c r="E29" s="124">
        <f>('EB1'!H$9*'EB1'!$H$30*F29/(K29*G29))*1.01</f>
        <v>9.067955659199999</v>
      </c>
      <c r="F29" s="141">
        <v>0.3</v>
      </c>
      <c r="G29" s="91">
        <v>100</v>
      </c>
      <c r="H29" s="92">
        <v>1</v>
      </c>
      <c r="I29" s="92">
        <v>0.22499999999999998</v>
      </c>
      <c r="J29" s="42">
        <v>30</v>
      </c>
      <c r="K29" s="94">
        <v>1E-3</v>
      </c>
      <c r="M29" s="125">
        <f t="shared" ref="M29" si="24">E29*G29*K29*H29</f>
        <v>0.90679556591999999</v>
      </c>
      <c r="O29" s="114" t="s">
        <v>97</v>
      </c>
      <c r="P29" s="113"/>
      <c r="Q29" s="123" t="str">
        <f>LEFT($B$2)&amp;'EB1'!$C$30&amp;$H$2&amp;'EB1'!$H$2</f>
        <v>TAVIEKER</v>
      </c>
      <c r="R29" s="113" t="str">
        <f>$D$2&amp;" "&amp;$C$2&amp; " Sector - "&amp;""&amp;$H$1&amp;" "&amp;'EB1'!$X$27&amp;" - "&amp;'EB1'!$H$3</f>
        <v>Demand Technologies Transport Sector - Existing Motor - Kerosenes</v>
      </c>
      <c r="S29" s="114" t="s">
        <v>178</v>
      </c>
      <c r="T29" s="114" t="str">
        <f t="shared" si="4"/>
        <v>000_Units</v>
      </c>
      <c r="U29" s="113"/>
      <c r="V29" s="114" t="s">
        <v>141</v>
      </c>
      <c r="W29" s="113"/>
    </row>
    <row r="30" spans="2:23" x14ac:dyDescent="0.2">
      <c r="B30" s="127" t="str">
        <f t="shared" ref="B30:B31" si="25">Q30</f>
        <v>TMAREDSL</v>
      </c>
      <c r="C30" s="128" t="str">
        <f t="shared" ref="C30:C31" si="26">$B$2&amp;RIGHT(B30,3)</f>
        <v>TRADSL</v>
      </c>
      <c r="D30" s="142" t="str">
        <f t="shared" ref="D30:D31" si="27">$Q$12</f>
        <v>DTMAR</v>
      </c>
      <c r="E30" s="60">
        <f>('EB1'!G$9*'EB1'!$G$32*F30/(K30*G30))*1.01</f>
        <v>35.895809478239997</v>
      </c>
      <c r="F30" s="139">
        <v>1</v>
      </c>
      <c r="G30" s="59">
        <v>50</v>
      </c>
      <c r="H30" s="64">
        <v>1</v>
      </c>
      <c r="I30" s="64">
        <v>0.24</v>
      </c>
      <c r="J30" s="42">
        <v>30</v>
      </c>
      <c r="K30" s="66">
        <v>1E-3</v>
      </c>
      <c r="M30" s="126">
        <f>E30*G30*K30*H30</f>
        <v>1.794790473912</v>
      </c>
      <c r="O30" s="106" t="s">
        <v>97</v>
      </c>
      <c r="P30" s="110"/>
      <c r="Q30" s="110" t="str">
        <f>LEFT($B$2)&amp;'EB1'!$C$32&amp;$H$2&amp;'EB1'!$G$2</f>
        <v>TMAREDSL</v>
      </c>
      <c r="R30" s="111" t="str">
        <f>$D$2&amp;" "&amp;$C$2&amp; " Sector - "&amp;""&amp;$H$1&amp;" "&amp;'EB1'!$X$27&amp;" - "&amp;'EB1'!$G$3</f>
        <v>Demand Technologies Transport Sector - Existing Motor - Diesel oil</v>
      </c>
      <c r="S30" s="106" t="s">
        <v>178</v>
      </c>
      <c r="T30" s="106" t="str">
        <f t="shared" si="4"/>
        <v>000_Units</v>
      </c>
      <c r="U30" s="110"/>
      <c r="V30" s="106" t="s">
        <v>141</v>
      </c>
      <c r="W30" s="110"/>
    </row>
    <row r="31" spans="2:23" x14ac:dyDescent="0.2">
      <c r="B31" t="str">
        <f t="shared" si="25"/>
        <v>TMAREGSL</v>
      </c>
      <c r="C31" t="str">
        <f t="shared" si="26"/>
        <v>TRAGSL</v>
      </c>
      <c r="D31" s="110" t="str">
        <f t="shared" si="27"/>
        <v>DTMAR</v>
      </c>
      <c r="E31" s="60">
        <f>('EB1'!J$9*'EB1'!$J$32*F31/(K31*G31))*1.01</f>
        <v>0</v>
      </c>
      <c r="F31" s="65">
        <v>0.15</v>
      </c>
      <c r="G31" s="59">
        <v>20</v>
      </c>
      <c r="H31" s="64">
        <v>1</v>
      </c>
      <c r="I31" s="64">
        <v>0.22499999999999998</v>
      </c>
      <c r="J31" s="42">
        <v>30</v>
      </c>
      <c r="K31" s="66">
        <v>1E-3</v>
      </c>
      <c r="M31" s="126">
        <f t="shared" ref="M31" si="28">E31*G31*K31*H31</f>
        <v>0</v>
      </c>
      <c r="O31" s="106" t="s">
        <v>97</v>
      </c>
      <c r="P31" s="110"/>
      <c r="Q31" s="110" t="str">
        <f>LEFT($B$2)&amp;'EB1'!$C$32&amp;$H$2&amp;'EB1'!$J$2</f>
        <v>TMAREGSL</v>
      </c>
      <c r="R31" s="110" t="str">
        <f>$D$2&amp;" "&amp;$C$2&amp; " Sector - "&amp;""&amp;$H$1&amp;" "&amp;'EB1'!$X$27&amp;" - "&amp;'EB1'!$J$3</f>
        <v>Demand Technologies Transport Sector - Existing Motor - Motor spirit</v>
      </c>
      <c r="S31" s="106" t="s">
        <v>178</v>
      </c>
      <c r="T31" s="106" t="str">
        <f t="shared" si="4"/>
        <v>000_Units</v>
      </c>
      <c r="U31" s="110"/>
      <c r="V31" s="106" t="s">
        <v>141</v>
      </c>
      <c r="W31" s="110"/>
    </row>
    <row r="34" spans="2:14" x14ac:dyDescent="0.2">
      <c r="B34" s="42"/>
      <c r="C34" s="1" t="s">
        <v>154</v>
      </c>
      <c r="K34" s="1"/>
      <c r="L34" s="1"/>
      <c r="M34" s="1"/>
    </row>
    <row r="35" spans="2:14" x14ac:dyDescent="0.2">
      <c r="B35" s="61"/>
      <c r="C35" s="1" t="s">
        <v>155</v>
      </c>
      <c r="K35" s="1"/>
      <c r="L35" s="1"/>
      <c r="M35" s="1"/>
      <c r="N35" s="1"/>
    </row>
    <row r="36" spans="2:14" x14ac:dyDescent="0.2">
      <c r="K36" s="1"/>
      <c r="L36" s="1"/>
      <c r="M36" s="1"/>
      <c r="N36" s="1"/>
    </row>
    <row r="37" spans="2:14" x14ac:dyDescent="0.2">
      <c r="K37" s="1"/>
      <c r="L37" s="1"/>
      <c r="M37" s="1"/>
      <c r="N37" s="1"/>
    </row>
    <row r="38" spans="2:14" x14ac:dyDescent="0.2">
      <c r="E38" s="1"/>
      <c r="N38" s="1"/>
    </row>
    <row r="39" spans="2:14" x14ac:dyDescent="0.2">
      <c r="E39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0"/>
  <sheetViews>
    <sheetView workbookViewId="0">
      <selection activeCell="E15" sqref="E15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3.140625" bestFit="1" customWidth="1"/>
    <col min="8" max="8" width="13.5703125" customWidth="1"/>
    <col min="9" max="9" width="5" bestFit="1" customWidth="1"/>
  </cols>
  <sheetData>
    <row r="1" spans="2:10" ht="15" x14ac:dyDescent="0.2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0" ht="15.75" x14ac:dyDescent="0.25">
      <c r="B2" s="10" t="s">
        <v>83</v>
      </c>
      <c r="C2" s="10"/>
      <c r="D2" s="10"/>
      <c r="E2" s="10" t="str">
        <f>DemTechs_TRA!S5</f>
        <v>BPkm</v>
      </c>
      <c r="G2" s="10" t="str">
        <f>'EB1'!Y2</f>
        <v>M$2021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80</v>
      </c>
      <c r="C6" s="2" t="s">
        <v>0</v>
      </c>
      <c r="D6" s="2" t="s">
        <v>148</v>
      </c>
      <c r="E6" s="73">
        <v>2021</v>
      </c>
      <c r="G6" s="2" t="s">
        <v>80</v>
      </c>
      <c r="H6" s="2" t="s">
        <v>0</v>
      </c>
      <c r="I6" s="2" t="s">
        <v>119</v>
      </c>
      <c r="J6" s="2">
        <v>2021</v>
      </c>
    </row>
    <row r="7" spans="2:10" ht="22.5" x14ac:dyDescent="0.2">
      <c r="B7" s="16" t="s">
        <v>81</v>
      </c>
      <c r="C7" s="16" t="s">
        <v>82</v>
      </c>
      <c r="D7" s="16" t="s">
        <v>149</v>
      </c>
      <c r="E7" s="71" t="s">
        <v>36</v>
      </c>
      <c r="G7" s="16" t="s">
        <v>81</v>
      </c>
      <c r="H7" s="16" t="s">
        <v>82</v>
      </c>
      <c r="I7" s="16"/>
      <c r="J7" s="16"/>
    </row>
    <row r="8" spans="2:10" ht="13.5" thickBot="1" x14ac:dyDescent="0.25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x14ac:dyDescent="0.2">
      <c r="B9" t="s">
        <v>35</v>
      </c>
      <c r="C9" t="str">
        <f>DemTechs_TRA!$Q$5</f>
        <v>DTCAR</v>
      </c>
      <c r="D9" s="1" t="s">
        <v>179</v>
      </c>
      <c r="E9" s="59">
        <f>SUMIF(DemTechs_TRA!D$19:D$31,Demands!C9,DemTechs_TRA!M$19:M$31)</f>
        <v>13.708670460671701</v>
      </c>
      <c r="G9" s="1" t="s">
        <v>120</v>
      </c>
      <c r="H9" t="str">
        <f>DemTechs_TRA!$Q$5</f>
        <v>DTCAR</v>
      </c>
      <c r="I9" s="152" t="s">
        <v>193</v>
      </c>
      <c r="J9" s="42">
        <v>0.4</v>
      </c>
    </row>
    <row r="10" spans="2:10" x14ac:dyDescent="0.2">
      <c r="B10" t="s">
        <v>35</v>
      </c>
      <c r="C10" t="str">
        <f>DemTechs_TRA!$Q$6</f>
        <v>DTPUB</v>
      </c>
      <c r="D10" s="1" t="s">
        <v>179</v>
      </c>
      <c r="E10" s="59">
        <f>SUMIF(DemTechs_TRA!D$19:D$31,Demands!C10,DemTechs_TRA!M$19:M$31)</f>
        <v>9.9051114061619998</v>
      </c>
      <c r="G10" s="1" t="s">
        <v>120</v>
      </c>
      <c r="H10" t="str">
        <f>DemTechs_TRA!$Q$5</f>
        <v>DTCAR</v>
      </c>
      <c r="I10" s="152" t="s">
        <v>194</v>
      </c>
      <c r="J10" s="42">
        <v>0.15</v>
      </c>
    </row>
    <row r="11" spans="2:10" x14ac:dyDescent="0.2">
      <c r="B11" t="s">
        <v>35</v>
      </c>
      <c r="C11" t="str">
        <f>DemTechs_TRA!$Q$7</f>
        <v>DTMOT</v>
      </c>
      <c r="D11" s="1" t="s">
        <v>179</v>
      </c>
      <c r="E11" s="59">
        <f>SUMIF(DemTechs_TRA!D$19:D$31,Demands!C11,DemTechs_TRA!M$19:M$31)</f>
        <v>22.676152862475007</v>
      </c>
      <c r="G11" s="1" t="s">
        <v>120</v>
      </c>
      <c r="H11" t="str">
        <f>DemTechs_TRA!$Q$5</f>
        <v>DTCAR</v>
      </c>
      <c r="I11" s="152" t="s">
        <v>195</v>
      </c>
      <c r="J11" s="42">
        <v>0.35</v>
      </c>
    </row>
    <row r="12" spans="2:10" x14ac:dyDescent="0.2">
      <c r="B12" t="s">
        <v>35</v>
      </c>
      <c r="C12" t="str">
        <f>DemTechs_TRA!$Q$8</f>
        <v>DTTRI</v>
      </c>
      <c r="D12" s="1" t="s">
        <v>179</v>
      </c>
      <c r="E12" s="59">
        <f>SUMIF(DemTechs_TRA!D$19:D$31,Demands!C12,DemTechs_TRA!M$19:M$31)</f>
        <v>4.7625336349155001</v>
      </c>
      <c r="G12" s="25" t="s">
        <v>120</v>
      </c>
      <c r="H12" s="6" t="str">
        <f>DemTechs_TRA!$Q$5</f>
        <v>DTCAR</v>
      </c>
      <c r="I12" s="153" t="s">
        <v>196</v>
      </c>
      <c r="J12" s="93">
        <v>0.1</v>
      </c>
    </row>
    <row r="13" spans="2:10" x14ac:dyDescent="0.2">
      <c r="B13" t="s">
        <v>35</v>
      </c>
      <c r="C13" t="str">
        <f>DemTechs_TRA!$Q$9</f>
        <v>DTFRE</v>
      </c>
      <c r="D13" s="1" t="s">
        <v>179</v>
      </c>
      <c r="E13" s="59">
        <f>SUMIF(DemTechs_TRA!D$19:D$31,Demands!C13,DemTechs_TRA!M$19:M$31)</f>
        <v>10.176461987081041</v>
      </c>
      <c r="G13" s="1" t="s">
        <v>120</v>
      </c>
      <c r="H13" t="str">
        <f>DemTechs_TRA!$Q$6</f>
        <v>DTPUB</v>
      </c>
      <c r="I13" s="152" t="s">
        <v>193</v>
      </c>
      <c r="J13" s="42">
        <v>0.48</v>
      </c>
    </row>
    <row r="14" spans="2:10" x14ac:dyDescent="0.2">
      <c r="B14" t="s">
        <v>35</v>
      </c>
      <c r="C14" t="str">
        <f>DemTechs_TRA!$Q$10</f>
        <v>DTAVI</v>
      </c>
      <c r="D14" s="1" t="s">
        <v>179</v>
      </c>
      <c r="E14" s="59">
        <f>SUMIF(DemTechs_TRA!D$19:D$31,Demands!C14,DemTechs_TRA!M$19:M$31)</f>
        <v>0.90679556591999999</v>
      </c>
      <c r="G14" s="1" t="s">
        <v>120</v>
      </c>
      <c r="H14" t="str">
        <f>DemTechs_TRA!$Q$6</f>
        <v>DTPUB</v>
      </c>
      <c r="I14" s="152" t="s">
        <v>194</v>
      </c>
      <c r="J14" s="42">
        <v>0.04</v>
      </c>
    </row>
    <row r="15" spans="2:10" x14ac:dyDescent="0.2">
      <c r="B15" t="s">
        <v>35</v>
      </c>
      <c r="C15" t="str">
        <f>DemTechs_TRA!$Q$11</f>
        <v>DTRAI</v>
      </c>
      <c r="D15" s="1" t="s">
        <v>179</v>
      </c>
      <c r="E15" s="59">
        <f>SUMIF(DemTechs_TRA!D$19:D$31,Demands!C15,DemTechs_TRA!M$19:M$31)</f>
        <v>59.826349130399997</v>
      </c>
      <c r="G15" s="1" t="s">
        <v>120</v>
      </c>
      <c r="H15" t="str">
        <f>DemTechs_TRA!$Q$6</f>
        <v>DTPUB</v>
      </c>
      <c r="I15" s="152" t="s">
        <v>195</v>
      </c>
      <c r="J15" s="42">
        <v>0.45</v>
      </c>
    </row>
    <row r="16" spans="2:10" x14ac:dyDescent="0.2">
      <c r="B16" t="s">
        <v>35</v>
      </c>
      <c r="C16" t="str">
        <f>DemTechs_TRA!$Q$12</f>
        <v>DTMAR</v>
      </c>
      <c r="D16" s="1" t="s">
        <v>179</v>
      </c>
      <c r="E16" s="59">
        <f>SUMIF(DemTechs_TRA!D$19:D$31,Demands!C16,DemTechs_TRA!M$19:M$31)</f>
        <v>1.794790473912</v>
      </c>
      <c r="G16" s="25" t="s">
        <v>120</v>
      </c>
      <c r="H16" s="6" t="str">
        <f>DemTechs_TRA!$Q$6</f>
        <v>DTPUB</v>
      </c>
      <c r="I16" s="153" t="s">
        <v>196</v>
      </c>
      <c r="J16" s="93">
        <v>0.03</v>
      </c>
    </row>
    <row r="17" spans="2:10" x14ac:dyDescent="0.2">
      <c r="G17" s="1" t="s">
        <v>120</v>
      </c>
      <c r="H17" t="str">
        <f>DemTechs_TRA!$Q$7</f>
        <v>DTMOT</v>
      </c>
      <c r="I17" s="152" t="s">
        <v>193</v>
      </c>
      <c r="J17" s="42">
        <v>0.4</v>
      </c>
    </row>
    <row r="18" spans="2:10" x14ac:dyDescent="0.2">
      <c r="G18" s="1" t="s">
        <v>120</v>
      </c>
      <c r="H18" t="str">
        <f>DemTechs_TRA!$Q$7</f>
        <v>DTMOT</v>
      </c>
      <c r="I18" s="152" t="s">
        <v>194</v>
      </c>
      <c r="J18" s="42">
        <v>0.15</v>
      </c>
    </row>
    <row r="19" spans="2:10" x14ac:dyDescent="0.2">
      <c r="G19" s="1" t="s">
        <v>120</v>
      </c>
      <c r="H19" t="str">
        <f>DemTechs_TRA!$Q$7</f>
        <v>DTMOT</v>
      </c>
      <c r="I19" s="152" t="s">
        <v>195</v>
      </c>
      <c r="J19" s="42">
        <v>0.35</v>
      </c>
    </row>
    <row r="20" spans="2:10" x14ac:dyDescent="0.2">
      <c r="G20" s="25" t="s">
        <v>120</v>
      </c>
      <c r="H20" s="6" t="str">
        <f>DemTechs_TRA!$Q$7</f>
        <v>DTMOT</v>
      </c>
      <c r="I20" s="153" t="s">
        <v>196</v>
      </c>
      <c r="J20" s="93">
        <v>0.1</v>
      </c>
    </row>
    <row r="21" spans="2:10" x14ac:dyDescent="0.2">
      <c r="G21" s="1" t="s">
        <v>120</v>
      </c>
      <c r="H21" t="str">
        <f>DemTechs_TRA!$Q$8</f>
        <v>DTTRI</v>
      </c>
      <c r="I21" s="152" t="s">
        <v>193</v>
      </c>
      <c r="J21" s="42">
        <v>0.35</v>
      </c>
    </row>
    <row r="22" spans="2:10" x14ac:dyDescent="0.2">
      <c r="G22" s="1" t="s">
        <v>120</v>
      </c>
      <c r="H22" t="str">
        <f>DemTechs_TRA!$Q$8</f>
        <v>DTTRI</v>
      </c>
      <c r="I22" s="152" t="s">
        <v>194</v>
      </c>
      <c r="J22" s="42">
        <v>0.18</v>
      </c>
    </row>
    <row r="23" spans="2:10" x14ac:dyDescent="0.2">
      <c r="G23" s="1" t="s">
        <v>120</v>
      </c>
      <c r="H23" t="str">
        <f>DemTechs_TRA!$Q$8</f>
        <v>DTTRI</v>
      </c>
      <c r="I23" s="152" t="s">
        <v>195</v>
      </c>
      <c r="J23" s="42">
        <v>0.35</v>
      </c>
    </row>
    <row r="24" spans="2:10" x14ac:dyDescent="0.2">
      <c r="G24" s="25" t="s">
        <v>120</v>
      </c>
      <c r="H24" s="6" t="str">
        <f>DemTechs_TRA!$Q$8</f>
        <v>DTTRI</v>
      </c>
      <c r="I24" s="153" t="s">
        <v>196</v>
      </c>
      <c r="J24" s="93">
        <v>0.12</v>
      </c>
    </row>
    <row r="25" spans="2:10" x14ac:dyDescent="0.2">
      <c r="G25" s="1" t="s">
        <v>120</v>
      </c>
      <c r="H25" t="str">
        <f>DemTechs_TRA!$Q$9</f>
        <v>DTFRE</v>
      </c>
      <c r="I25" s="152" t="s">
        <v>193</v>
      </c>
      <c r="J25" s="42">
        <v>0.2</v>
      </c>
    </row>
    <row r="26" spans="2:10" x14ac:dyDescent="0.2">
      <c r="B26" s="42"/>
      <c r="C26" s="1" t="s">
        <v>154</v>
      </c>
      <c r="G26" s="1" t="s">
        <v>120</v>
      </c>
      <c r="H26" t="str">
        <f>DemTechs_TRA!$Q$9</f>
        <v>DTFRE</v>
      </c>
      <c r="I26" s="152" t="s">
        <v>194</v>
      </c>
      <c r="J26" s="42">
        <v>0.32</v>
      </c>
    </row>
    <row r="27" spans="2:10" x14ac:dyDescent="0.2">
      <c r="B27" s="61"/>
      <c r="C27" s="1" t="s">
        <v>155</v>
      </c>
      <c r="G27" s="1" t="s">
        <v>120</v>
      </c>
      <c r="H27" t="str">
        <f>DemTechs_TRA!$Q$9</f>
        <v>DTFRE</v>
      </c>
      <c r="I27" s="152" t="s">
        <v>195</v>
      </c>
      <c r="J27" s="42">
        <v>0.18</v>
      </c>
    </row>
    <row r="28" spans="2:10" x14ac:dyDescent="0.2">
      <c r="G28" s="25" t="s">
        <v>120</v>
      </c>
      <c r="H28" s="6" t="str">
        <f>DemTechs_TRA!$Q$9</f>
        <v>DTFRE</v>
      </c>
      <c r="I28" s="153" t="s">
        <v>196</v>
      </c>
      <c r="J28" s="93">
        <v>0.3</v>
      </c>
    </row>
    <row r="29" spans="2:10" x14ac:dyDescent="0.2">
      <c r="G29" s="1" t="s">
        <v>120</v>
      </c>
      <c r="H29" t="str">
        <f>DemTechs_TRA!$Q$10</f>
        <v>DTAVI</v>
      </c>
      <c r="I29" s="152" t="s">
        <v>193</v>
      </c>
      <c r="J29" s="42">
        <v>0.42</v>
      </c>
    </row>
    <row r="30" spans="2:10" x14ac:dyDescent="0.2">
      <c r="G30" s="1" t="s">
        <v>120</v>
      </c>
      <c r="H30" t="str">
        <f>DemTechs_TRA!$Q$10</f>
        <v>DTAVI</v>
      </c>
      <c r="I30" s="152" t="s">
        <v>194</v>
      </c>
      <c r="J30" s="42">
        <v>0.12</v>
      </c>
    </row>
    <row r="31" spans="2:10" x14ac:dyDescent="0.2">
      <c r="G31" s="1" t="s">
        <v>120</v>
      </c>
      <c r="H31" t="str">
        <f>DemTechs_TRA!$Q$10</f>
        <v>DTAVI</v>
      </c>
      <c r="I31" s="152" t="s">
        <v>195</v>
      </c>
      <c r="J31" s="42">
        <v>0.36</v>
      </c>
    </row>
    <row r="32" spans="2:10" x14ac:dyDescent="0.2">
      <c r="G32" s="25" t="s">
        <v>120</v>
      </c>
      <c r="H32" s="6" t="str">
        <f>DemTechs_TRA!$Q$10</f>
        <v>DTAVI</v>
      </c>
      <c r="I32" s="153" t="s">
        <v>196</v>
      </c>
      <c r="J32" s="93">
        <v>0.1</v>
      </c>
    </row>
    <row r="33" spans="7:10" x14ac:dyDescent="0.2">
      <c r="G33" s="1" t="s">
        <v>120</v>
      </c>
      <c r="H33" t="str">
        <f>DemTechs_TRA!$Q$11</f>
        <v>DTRAI</v>
      </c>
      <c r="I33" s="152" t="s">
        <v>193</v>
      </c>
      <c r="J33" s="42">
        <v>0.5</v>
      </c>
    </row>
    <row r="34" spans="7:10" x14ac:dyDescent="0.2">
      <c r="G34" s="1" t="s">
        <v>120</v>
      </c>
      <c r="H34" t="str">
        <f>DemTechs_TRA!$Q$11</f>
        <v>DTRAI</v>
      </c>
      <c r="I34" s="152" t="s">
        <v>194</v>
      </c>
      <c r="J34" s="42">
        <v>0</v>
      </c>
    </row>
    <row r="35" spans="7:10" x14ac:dyDescent="0.2">
      <c r="G35" s="1" t="s">
        <v>120</v>
      </c>
      <c r="H35" t="str">
        <f>DemTechs_TRA!$Q$11</f>
        <v>DTRAI</v>
      </c>
      <c r="I35" s="152" t="s">
        <v>195</v>
      </c>
      <c r="J35" s="42">
        <v>0.5</v>
      </c>
    </row>
    <row r="36" spans="7:10" x14ac:dyDescent="0.2">
      <c r="G36" s="25" t="s">
        <v>120</v>
      </c>
      <c r="H36" s="6" t="str">
        <f>DemTechs_TRA!$Q$11</f>
        <v>DTRAI</v>
      </c>
      <c r="I36" s="153" t="s">
        <v>196</v>
      </c>
      <c r="J36" s="93">
        <v>0</v>
      </c>
    </row>
    <row r="37" spans="7:10" x14ac:dyDescent="0.2">
      <c r="G37" s="1" t="s">
        <v>120</v>
      </c>
      <c r="H37" t="str">
        <f>DemTechs_TRA!$Q$12</f>
        <v>DTMAR</v>
      </c>
      <c r="I37" s="152" t="s">
        <v>193</v>
      </c>
      <c r="J37" s="42">
        <v>0.23</v>
      </c>
    </row>
    <row r="38" spans="7:10" x14ac:dyDescent="0.2">
      <c r="G38" s="1" t="s">
        <v>120</v>
      </c>
      <c r="H38" t="str">
        <f>DemTechs_TRA!$Q$12</f>
        <v>DTMAR</v>
      </c>
      <c r="I38" s="152" t="s">
        <v>194</v>
      </c>
      <c r="J38" s="42">
        <v>0.22</v>
      </c>
    </row>
    <row r="39" spans="7:10" x14ac:dyDescent="0.2">
      <c r="G39" s="1" t="s">
        <v>120</v>
      </c>
      <c r="H39" t="str">
        <f>DemTechs_TRA!$Q$12</f>
        <v>DTMAR</v>
      </c>
      <c r="I39" s="152" t="s">
        <v>195</v>
      </c>
      <c r="J39" s="42">
        <v>0.28000000000000003</v>
      </c>
    </row>
    <row r="40" spans="7:10" x14ac:dyDescent="0.2">
      <c r="G40" s="25" t="s">
        <v>120</v>
      </c>
      <c r="H40" s="6" t="str">
        <f>DemTechs_TRA!$Q$12</f>
        <v>DTMAR</v>
      </c>
      <c r="I40" s="153" t="s">
        <v>196</v>
      </c>
      <c r="J40" s="93">
        <v>0.27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L24"/>
  <sheetViews>
    <sheetView workbookViewId="0">
      <selection activeCell="L12" sqref="L12"/>
    </sheetView>
  </sheetViews>
  <sheetFormatPr defaultRowHeight="12.75" x14ac:dyDescent="0.2"/>
  <cols>
    <col min="2" max="2" width="14.42578125" customWidth="1"/>
  </cols>
  <sheetData>
    <row r="3" spans="2:12" ht="17.45" customHeight="1" x14ac:dyDescent="0.25">
      <c r="B3" s="32" t="s">
        <v>145</v>
      </c>
      <c r="C3" s="32"/>
      <c r="D3" s="32"/>
      <c r="E3" s="32"/>
      <c r="F3" s="32"/>
      <c r="G3" s="32"/>
      <c r="H3" s="32"/>
    </row>
    <row r="4" spans="2:12" ht="17.45" customHeight="1" x14ac:dyDescent="0.25">
      <c r="B4" s="33"/>
      <c r="C4" s="33"/>
      <c r="D4" s="33"/>
      <c r="E4" s="33"/>
      <c r="F4" s="33"/>
      <c r="G4" s="33"/>
    </row>
    <row r="5" spans="2:12" ht="18" x14ac:dyDescent="0.25">
      <c r="B5" s="30" t="s">
        <v>146</v>
      </c>
      <c r="C5" s="31"/>
    </row>
    <row r="6" spans="2:12" ht="13.5" thickBot="1" x14ac:dyDescent="0.25">
      <c r="B6" s="35" t="s">
        <v>0</v>
      </c>
      <c r="C6" s="35" t="str">
        <f>Sector_Fuels_TRA!L5</f>
        <v>TRAGAS</v>
      </c>
      <c r="D6" s="35" t="str">
        <f>Sector_Fuels_TRA!L6</f>
        <v>TRADSL</v>
      </c>
      <c r="E6" s="35" t="str">
        <f>Sector_Fuels_TRA!L7</f>
        <v>TRALPG</v>
      </c>
      <c r="F6" s="35" t="str">
        <f>Sector_Fuels_TRA!L8</f>
        <v>TRAGSL</v>
      </c>
      <c r="G6" s="35" t="s">
        <v>197</v>
      </c>
      <c r="H6" s="34"/>
    </row>
    <row r="7" spans="2:12" ht="13.5" thickBot="1" x14ac:dyDescent="0.25">
      <c r="B7" s="15" t="s">
        <v>91</v>
      </c>
      <c r="C7" s="15" t="s">
        <v>153</v>
      </c>
      <c r="D7" s="15" t="s">
        <v>153</v>
      </c>
      <c r="E7" s="15" t="s">
        <v>153</v>
      </c>
      <c r="F7" s="15" t="s">
        <v>153</v>
      </c>
      <c r="G7" s="15" t="s">
        <v>153</v>
      </c>
      <c r="H7" s="95"/>
      <c r="I7" s="1"/>
    </row>
    <row r="8" spans="2:12" x14ac:dyDescent="0.2">
      <c r="B8" s="34" t="str">
        <f>DemTechs_TRA!Q13</f>
        <v>TRACO2</v>
      </c>
      <c r="C8" s="64">
        <v>56.1</v>
      </c>
      <c r="D8" s="64">
        <v>75</v>
      </c>
      <c r="E8" s="64">
        <v>64</v>
      </c>
      <c r="F8" s="64">
        <v>73</v>
      </c>
      <c r="G8" s="64">
        <v>112</v>
      </c>
      <c r="H8" s="96"/>
      <c r="I8" s="1"/>
    </row>
    <row r="10" spans="2:12" x14ac:dyDescent="0.2">
      <c r="L10" s="1"/>
    </row>
    <row r="23" spans="2:3" x14ac:dyDescent="0.2">
      <c r="B23" s="42"/>
      <c r="C23" s="1" t="s">
        <v>154</v>
      </c>
    </row>
    <row r="24" spans="2:3" x14ac:dyDescent="0.2">
      <c r="B24" s="61"/>
      <c r="C24" s="1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2026-10-15T05:04:08Z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</Properties>
</file>