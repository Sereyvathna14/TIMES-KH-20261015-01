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4\SubRES_TMPL\"/>
    </mc:Choice>
  </mc:AlternateContent>
  <xr:revisionPtr revIDLastSave="0" documentId="13_ncr:1_{A5B9B577-6DF0-4ABC-B0B8-EADCFB0CD0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" sheetId="5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I16" i="5" l="1"/>
  <c r="I15" i="5"/>
  <c r="I14" i="5"/>
  <c r="I13" i="5"/>
  <c r="I12" i="5"/>
  <c r="B24" i="5"/>
  <c r="B23" i="5"/>
  <c r="B21" i="5"/>
  <c r="B22" i="5"/>
  <c r="B20" i="5"/>
  <c r="B19" i="5"/>
  <c r="B18" i="5"/>
  <c r="B17" i="5"/>
  <c r="B16" i="5" l="1"/>
  <c r="B15" i="5"/>
  <c r="B14" i="5"/>
  <c r="B13" i="5"/>
  <c r="B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<sst xmlns="http://schemas.openxmlformats.org/spreadsheetml/2006/main" count="190" uniqueCount="119">
  <si>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</si>
  <si>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</si>
  <si>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</si>
  <si>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</si>
  <si>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</si>
  <si>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</si>
  <si>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</si>
  <si>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</si>
  <si>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</si>
  <si>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</si>
  <si>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</si>
  <si>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</si>
  <si>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</si>
  <si>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</si>
  <si>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</si>
  <si>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</si>
  <si>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</si>
  <si>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</si>
  <si>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</si>
  <si>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</si>
  <si>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</si>
  <si>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</si>
  <si>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</si>
  <si>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</si>
  <si>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</si>
  <si>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</si>
  <si>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</si>
  <si>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</si>
  <si>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</si>
  <si>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</si>
  <si>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</si>
  <si>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</si>
  <si>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</si>
  <si>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</si>
  <si>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</si>
  <si>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</si>
  <si>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</si>
  <si>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Capacity to Activity Factor</t>
  </si>
  <si>
    <t>INVCOST</t>
  </si>
  <si>
    <t>Fixed O&amp;M Cost</t>
  </si>
  <si>
    <t>Sector Name</t>
  </si>
  <si>
    <t>Description</t>
  </si>
  <si>
    <t>Type</t>
  </si>
  <si>
    <t>Currency Unit</t>
  </si>
  <si>
    <t>New</t>
  </si>
  <si>
    <t>PJ</t>
  </si>
  <si>
    <t>N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</si>
  <si>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</si>
  <si>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</si>
  <si>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</si>
  <si>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</si>
  <si>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</si>
  <si>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</si>
  <si>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</si>
  <si>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</si>
  <si>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*Process Set Membership</t>
  </si>
  <si>
    <t>TimeSlice level of Process Activity</t>
  </si>
  <si>
    <t>Primary Commodity Group</t>
  </si>
  <si>
    <t>*Units</t>
  </si>
  <si>
    <t>Years</t>
  </si>
  <si>
    <t>Default Unit</t>
  </si>
  <si>
    <t>Demand Technologies</t>
  </si>
  <si>
    <t>DMD</t>
  </si>
  <si>
    <t>TRA</t>
  </si>
  <si>
    <t>Transport</t>
  </si>
  <si>
    <t>Capacity</t>
  </si>
  <si>
    <t>000_Units</t>
  </si>
  <si>
    <t>*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</si>
  <si>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</si>
  <si>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</si>
  <si>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</si>
  <si>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</si>
  <si>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</si>
  <si>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</si>
  <si>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</si>
  <si>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</si>
  <si>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</si>
  <si>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</si>
  <si>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</si>
  <si>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</si>
  <si>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Pub - Diesel oil</t>
  </si>
  <si>
    <t>Demand Technologies Transport Sector - New Pub - LPG</t>
  </si>
  <si>
    <t>DTCAR</t>
  </si>
  <si>
    <t>DTPUB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</si>
  <si>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</si>
  <si>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</si>
  <si>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</si>
  <si>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TPUNLPG1</t>
  </si>
  <si>
    <t>TPUNDSL1</t>
  </si>
  <si>
    <t>TCANGSL1</t>
  </si>
  <si>
    <t>TCANLPG1</t>
  </si>
  <si>
    <t>TCANDSL1</t>
  </si>
  <si>
    <t>CAP2ACT</t>
  </si>
  <si>
    <t>Lifetime</t>
  </si>
  <si>
    <t>BV*km/PJ</t>
  </si>
  <si>
    <t>BPkm</t>
  </si>
  <si>
    <t>bvkm/mvkm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</si>
  <si>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</si>
  <si>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</si>
  <si>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</si>
  <si>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</si>
  <si>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</si>
  <si>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</si>
  <si>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</si>
  <si>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</si>
  <si>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</si>
  <si>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</si>
  <si>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TMOTNGSL1</t>
  </si>
  <si>
    <t>TTRINLPG1</t>
  </si>
  <si>
    <t>TTRINGSL1</t>
  </si>
  <si>
    <t>TFRENDSL1</t>
  </si>
  <si>
    <t>TAVINKER1</t>
  </si>
  <si>
    <t>TRAINDSL1</t>
  </si>
  <si>
    <t>TMARNDSL1</t>
  </si>
  <si>
    <t>TMARNGSL1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</si>
  <si>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</si>
  <si>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</si>
  <si>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</si>
  <si>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Kerosenes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</si>
</sst>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24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58">
    <xf numFmtId="0" fontId="0" fillId="0" borderId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1" fontId="16" fillId="0" borderId="0" applyNumberFormat="0" applyAlignment="0" applyProtection="0">
      <alignment horizontal="center"/>
    </xf>
    <xf numFmtId="0" fontId="17" fillId="0" borderId="7" applyNumberFormat="0" applyFill="0" applyAlignment="0" applyProtection="0"/>
    <xf numFmtId="164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8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0" fontId="4" fillId="6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" fillId="0" borderId="0"/>
    <xf numFmtId="0" fontId="23" fillId="0" borderId="0"/>
  </cellStyleXfs>
  <cellXfs count="46">
    <xf numFmtId="0" fontId="0" fillId="0" borderId="0" xfId="0"/>
    <xf numFmtId="0" fontId="4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15" fillId="4" borderId="0" xfId="2"/>
    <xf numFmtId="0" fontId="20" fillId="7" borderId="0" xfId="13" applyFont="1" applyFill="1"/>
    <xf numFmtId="0" fontId="21" fillId="3" borderId="2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20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1" fillId="3" borderId="1" xfId="1" applyFont="1" applyBorder="1" applyAlignment="1">
      <alignment horizontal="right" wrapText="1"/>
    </xf>
    <xf numFmtId="0" fontId="21" fillId="3" borderId="3" xfId="1" applyFont="1" applyBorder="1" applyAlignment="1">
      <alignment horizontal="right" wrapText="1"/>
    </xf>
    <xf numFmtId="0" fontId="21" fillId="3" borderId="2" xfId="1" applyFont="1" applyBorder="1" applyAlignment="1">
      <alignment horizontal="right" wrapText="1"/>
    </xf>
    <xf numFmtId="0" fontId="21" fillId="3" borderId="4" xfId="1" applyFont="1" applyBorder="1" applyAlignment="1">
      <alignment horizontal="right" wrapText="1"/>
    </xf>
    <xf numFmtId="0" fontId="5" fillId="0" borderId="0" xfId="31" applyFont="1" applyAlignment="1">
      <alignment horizontal="right" vertical="center" wrapText="1"/>
    </xf>
    <xf numFmtId="1" fontId="0" fillId="0" borderId="0" xfId="0" applyNumberFormat="1"/>
    <xf numFmtId="2" fontId="0" fillId="0" borderId="0" xfId="0" applyNumberFormat="1"/>
    <xf numFmtId="0" fontId="20" fillId="0" borderId="0" xfId="13" applyFont="1" applyFill="1"/>
    <xf numFmtId="0" fontId="22" fillId="0" borderId="0" xfId="0" applyFont="1"/>
    <xf numFmtId="0" fontId="20" fillId="7" borderId="0" xfId="13" quotePrefix="1" applyFont="1" applyFill="1"/>
    <xf numFmtId="0" fontId="15" fillId="0" borderId="0" xfId="2" applyFill="1"/>
    <xf numFmtId="0" fontId="21" fillId="0" borderId="0" xfId="1" applyFont="1" applyFill="1" applyBorder="1" applyAlignment="1">
      <alignment horizontal="right" wrapText="1"/>
    </xf>
    <xf numFmtId="0" fontId="21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165" fontId="0" fillId="0" borderId="5" xfId="0" applyNumberFormat="1" applyBorder="1"/>
    <xf numFmtId="0" fontId="0" fillId="8" borderId="0" xfId="0" applyFill="1"/>
    <xf numFmtId="0" fontId="1" fillId="8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1" fillId="3" borderId="2" xfId="1" applyNumberFormat="1" applyFont="1" applyBorder="1" applyAlignment="1">
      <alignment horizontal="left" wrapText="1"/>
    </xf>
    <xf numFmtId="167" fontId="0" fillId="0" borderId="0" xfId="0" applyNumberFormat="1"/>
    <xf numFmtId="167" fontId="21" fillId="3" borderId="6" xfId="1" applyNumberFormat="1" applyFont="1" applyBorder="1" applyAlignment="1">
      <alignment horizontal="left" wrapText="1"/>
    </xf>
    <xf numFmtId="167" fontId="21" fillId="3" borderId="6" xfId="1" applyNumberFormat="1" applyFont="1" applyBorder="1" applyAlignment="1">
      <alignment horizontal="right" wrapText="1"/>
    </xf>
    <xf numFmtId="167" fontId="0" fillId="0" borderId="9" xfId="0" applyNumberFormat="1" applyBorder="1"/>
    <xf numFmtId="165" fontId="0" fillId="0" borderId="3" xfId="0" applyNumberFormat="1" applyBorder="1"/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27</xdr:row>
      <xdr:rowOff>47279</xdr:rowOff>
    </xdr:from>
    <xdr:to>
      <xdr:col>11</xdr:col>
      <xdr:colOff>390701</xdr:colOff>
      <xdr:row>33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24"/>
  <sheetViews>
    <sheetView tabSelected="1" topLeftCell="A10" zoomScaleNormal="100" workbookViewId="0">
      <selection activeCell="B32" sqref="B32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4" t="s">
        <v>40</v>
      </c>
      <c r="C1" s="4" t="s">
        <v>41</v>
      </c>
      <c r="D1" s="4" t="s">
        <v>42</v>
      </c>
      <c r="E1" s="4" t="s">
        <v>60</v>
      </c>
      <c r="F1" s="4" t="s">
        <v>43</v>
      </c>
      <c r="G1" s="4" t="s">
        <v>65</v>
      </c>
      <c r="H1" s="22"/>
      <c r="I1" s="4" t="s">
        <v>44</v>
      </c>
    </row>
    <row r="2" spans="2:22" ht="15.6" x14ac:dyDescent="0.3">
      <c r="B2" s="5" t="s">
        <v>63</v>
      </c>
      <c r="C2" s="5" t="s">
        <v>64</v>
      </c>
      <c r="D2" s="9" t="s">
        <v>61</v>
      </c>
      <c r="E2" s="5" t="s">
        <v>45</v>
      </c>
      <c r="F2" s="5" t="s">
        <v>99</v>
      </c>
      <c r="G2" s="21" t="s">
        <v>66</v>
      </c>
      <c r="H2" s="19"/>
      <c r="I2" s="5" t="s">
        <v>46</v>
      </c>
      <c r="N2" s="36" t="s">
        <v>7</v>
      </c>
      <c r="O2" s="36"/>
      <c r="P2" s="37"/>
      <c r="Q2" s="37"/>
      <c r="R2" s="37"/>
      <c r="S2" s="37"/>
      <c r="T2" s="37"/>
      <c r="U2" s="37"/>
      <c r="V2" s="37"/>
    </row>
    <row r="3" spans="2:22" x14ac:dyDescent="0.25">
      <c r="N3" s="38" t="s">
        <v>8</v>
      </c>
      <c r="O3" s="39" t="s">
        <v>47</v>
      </c>
      <c r="P3" s="38" t="s">
        <v>6</v>
      </c>
      <c r="Q3" s="38" t="s">
        <v>9</v>
      </c>
      <c r="R3" s="38" t="s">
        <v>10</v>
      </c>
      <c r="S3" s="38" t="s">
        <v>11</v>
      </c>
      <c r="T3" s="38" t="s">
        <v>12</v>
      </c>
      <c r="U3" s="38" t="s">
        <v>13</v>
      </c>
      <c r="V3" s="38" t="s">
        <v>14</v>
      </c>
    </row>
    <row r="4" spans="2:22" ht="22.2" thickBot="1" x14ac:dyDescent="0.35">
      <c r="B4" s="19"/>
      <c r="C4" s="19"/>
      <c r="D4" s="19"/>
      <c r="E4" s="19"/>
      <c r="F4" s="19"/>
      <c r="N4" s="40" t="s">
        <v>48</v>
      </c>
      <c r="O4" s="40" t="s">
        <v>49</v>
      </c>
      <c r="P4" s="40" t="s">
        <v>24</v>
      </c>
      <c r="Q4" s="40" t="s">
        <v>25</v>
      </c>
      <c r="R4" s="40" t="s">
        <v>10</v>
      </c>
      <c r="S4" s="40" t="s">
        <v>50</v>
      </c>
      <c r="T4" s="40" t="s">
        <v>51</v>
      </c>
      <c r="U4" s="40" t="s">
        <v>26</v>
      </c>
      <c r="V4" s="40" t="s">
        <v>27</v>
      </c>
    </row>
    <row r="5" spans="2:22" ht="15.6" x14ac:dyDescent="0.3">
      <c r="B5" s="19"/>
      <c r="C5" s="19"/>
      <c r="D5" s="19"/>
      <c r="E5" s="19"/>
      <c r="F5" s="19"/>
      <c r="N5" s="1"/>
      <c r="P5" s="1"/>
      <c r="Q5" s="1"/>
      <c r="R5" s="1"/>
      <c r="S5" s="1"/>
      <c r="T5" s="1"/>
      <c r="U5" s="1"/>
      <c r="V5" s="1"/>
    </row>
    <row r="8" spans="2:22" x14ac:dyDescent="0.25">
      <c r="D8" s="3" t="s">
        <v>0</v>
      </c>
      <c r="E8" s="3"/>
      <c r="G8" s="3"/>
      <c r="J8" s="2"/>
      <c r="K8" s="20"/>
      <c r="N8" s="36" t="s">
        <v>18</v>
      </c>
      <c r="O8" s="36"/>
      <c r="P8" s="41"/>
      <c r="Q8" s="41"/>
      <c r="R8" s="41"/>
      <c r="S8" s="41"/>
      <c r="T8" s="41"/>
      <c r="U8" s="41"/>
      <c r="V8" s="41"/>
    </row>
    <row r="9" spans="2:22" x14ac:dyDescent="0.25">
      <c r="B9" s="8" t="s">
        <v>1</v>
      </c>
      <c r="C9" s="8" t="s">
        <v>3</v>
      </c>
      <c r="D9" s="8" t="s">
        <v>4</v>
      </c>
      <c r="E9" s="8" t="s">
        <v>15</v>
      </c>
      <c r="F9" s="11" t="s">
        <v>17</v>
      </c>
      <c r="G9" s="11" t="s">
        <v>35</v>
      </c>
      <c r="H9" s="11" t="s">
        <v>68</v>
      </c>
      <c r="I9" s="11" t="s">
        <v>38</v>
      </c>
      <c r="J9" s="11" t="s">
        <v>5</v>
      </c>
      <c r="K9" s="10" t="s">
        <v>52</v>
      </c>
      <c r="L9" s="10" t="s">
        <v>92</v>
      </c>
      <c r="M9" s="16"/>
      <c r="N9" s="38" t="s">
        <v>16</v>
      </c>
      <c r="O9" s="39" t="s">
        <v>47</v>
      </c>
      <c r="P9" s="38" t="s">
        <v>1</v>
      </c>
      <c r="Q9" s="38" t="s">
        <v>2</v>
      </c>
      <c r="R9" s="38" t="s">
        <v>19</v>
      </c>
      <c r="S9" s="38" t="s">
        <v>20</v>
      </c>
      <c r="T9" s="38" t="s">
        <v>21</v>
      </c>
      <c r="U9" s="38" t="s">
        <v>22</v>
      </c>
      <c r="V9" s="38" t="s">
        <v>23</v>
      </c>
    </row>
    <row r="10" spans="2:22" ht="21.6" thickBot="1" x14ac:dyDescent="0.3">
      <c r="B10" s="7" t="s">
        <v>53</v>
      </c>
      <c r="C10" s="7" t="s">
        <v>33</v>
      </c>
      <c r="D10" s="7" t="s">
        <v>34</v>
      </c>
      <c r="E10" s="7"/>
      <c r="F10" s="12" t="s">
        <v>36</v>
      </c>
      <c r="G10" s="13" t="s">
        <v>54</v>
      </c>
      <c r="H10" s="13" t="s">
        <v>69</v>
      </c>
      <c r="I10" s="13" t="s">
        <v>70</v>
      </c>
      <c r="J10" s="12" t="s">
        <v>39</v>
      </c>
      <c r="K10" s="12" t="s">
        <v>93</v>
      </c>
      <c r="L10" s="12" t="s">
        <v>37</v>
      </c>
      <c r="M10" s="23"/>
      <c r="N10" s="40" t="s">
        <v>55</v>
      </c>
      <c r="O10" s="40" t="s">
        <v>49</v>
      </c>
      <c r="P10" s="40" t="s">
        <v>28</v>
      </c>
      <c r="Q10" s="40" t="s">
        <v>29</v>
      </c>
      <c r="R10" s="40" t="s">
        <v>30</v>
      </c>
      <c r="S10" s="40" t="s">
        <v>31</v>
      </c>
      <c r="T10" s="40" t="s">
        <v>56</v>
      </c>
      <c r="U10" s="40" t="s">
        <v>57</v>
      </c>
      <c r="V10" s="40" t="s">
        <v>32</v>
      </c>
    </row>
    <row r="11" spans="2:22" ht="13.8" thickBot="1" x14ac:dyDescent="0.3">
      <c r="B11" s="6" t="s">
        <v>58</v>
      </c>
      <c r="C11" s="6"/>
      <c r="D11" s="6"/>
      <c r="E11" s="6"/>
      <c r="F11" s="14" t="s">
        <v>94</v>
      </c>
      <c r="G11" s="24" t="s">
        <v>71</v>
      </c>
      <c r="H11" s="15" t="s">
        <v>72</v>
      </c>
      <c r="I11" s="15" t="s">
        <v>97</v>
      </c>
      <c r="J11" s="14" t="s">
        <v>98</v>
      </c>
      <c r="K11" s="14" t="s">
        <v>59</v>
      </c>
      <c r="L11" s="14" t="s">
        <v>96</v>
      </c>
      <c r="M11" s="23"/>
      <c r="N11" s="42" t="s">
        <v>67</v>
      </c>
      <c r="O11" s="43"/>
      <c r="P11" s="43"/>
      <c r="Q11" s="43"/>
      <c r="R11" s="43"/>
      <c r="S11" s="43"/>
      <c r="T11" s="43"/>
      <c r="U11" s="43"/>
      <c r="V11" s="43"/>
    </row>
    <row r="12" spans="2:22" x14ac:dyDescent="0.25">
      <c r="B12" t="str">
        <f t="shared" ref="B12:B24" si="0">P12</f>
        <v>TCANDSL1</v>
      </c>
      <c r="C12" t="s">
        <v>74</v>
      </c>
      <c r="D12" t="s">
        <v>82</v>
      </c>
      <c r="E12">
        <v>2022</v>
      </c>
      <c r="F12" s="18">
        <v>0.43049999999999999</v>
      </c>
      <c r="G12" s="17">
        <v>16.5</v>
      </c>
      <c r="H12" s="18">
        <v>1.25</v>
      </c>
      <c r="I12" s="26">
        <f>16*1.08</f>
        <v>17.28</v>
      </c>
      <c r="J12" s="18">
        <v>0.16</v>
      </c>
      <c r="K12">
        <v>20</v>
      </c>
      <c r="L12" s="25">
        <v>1E-3</v>
      </c>
      <c r="N12" t="s">
        <v>62</v>
      </c>
      <c r="O12" s="41"/>
      <c r="P12" s="37" t="s">
        <v>91</v>
      </c>
      <c r="Q12" s="37" t="s">
        <v>77</v>
      </c>
      <c r="R12" s="41" t="s">
        <v>95</v>
      </c>
      <c r="S12" s="41" t="s">
        <v>66</v>
      </c>
      <c r="T12" s="41"/>
      <c r="U12" s="41" t="s">
        <v>73</v>
      </c>
      <c r="V12" s="41"/>
    </row>
    <row r="13" spans="2:22" x14ac:dyDescent="0.25">
      <c r="B13" t="str">
        <f t="shared" si="0"/>
        <v>TCANLPG1</v>
      </c>
      <c r="C13" t="s">
        <v>75</v>
      </c>
      <c r="D13" t="s">
        <v>82</v>
      </c>
      <c r="E13">
        <v>2022</v>
      </c>
      <c r="F13" s="18">
        <v>0.39900000000000002</v>
      </c>
      <c r="G13" s="17">
        <v>14</v>
      </c>
      <c r="H13" s="18">
        <v>1.25</v>
      </c>
      <c r="I13" s="26">
        <f>15.5*1.08</f>
        <v>16.740000000000002</v>
      </c>
      <c r="J13" s="18">
        <v>0.16</v>
      </c>
      <c r="K13">
        <v>20</v>
      </c>
      <c r="L13" s="25">
        <v>1E-3</v>
      </c>
      <c r="N13" t="s">
        <v>62</v>
      </c>
      <c r="O13" s="41"/>
      <c r="P13" s="37" t="s">
        <v>90</v>
      </c>
      <c r="Q13" s="37" t="s">
        <v>78</v>
      </c>
      <c r="R13" s="41" t="s">
        <v>95</v>
      </c>
      <c r="S13" s="41" t="s">
        <v>66</v>
      </c>
      <c r="T13" s="41"/>
      <c r="U13" s="41" t="s">
        <v>73</v>
      </c>
      <c r="V13" s="41"/>
    </row>
    <row r="14" spans="2:22" x14ac:dyDescent="0.25">
      <c r="B14" s="27" t="str">
        <f t="shared" si="0"/>
        <v>TCANGSL1</v>
      </c>
      <c r="C14" s="27" t="s">
        <v>76</v>
      </c>
      <c r="D14" s="27" t="s">
        <v>82</v>
      </c>
      <c r="E14" s="27">
        <v>2022</v>
      </c>
      <c r="F14" s="30">
        <v>0.42000000000000004</v>
      </c>
      <c r="G14" s="32">
        <v>11.5</v>
      </c>
      <c r="H14" s="30">
        <v>1.25</v>
      </c>
      <c r="I14" s="31">
        <f>15.5*1.08</f>
        <v>16.740000000000002</v>
      </c>
      <c r="J14" s="30">
        <v>0.15</v>
      </c>
      <c r="K14" s="27">
        <v>20</v>
      </c>
      <c r="L14" s="33">
        <v>1E-3</v>
      </c>
      <c r="N14" t="s">
        <v>62</v>
      </c>
      <c r="O14" s="41"/>
      <c r="P14" s="37" t="s">
        <v>89</v>
      </c>
      <c r="Q14" s="37" t="s">
        <v>79</v>
      </c>
      <c r="R14" s="41" t="s">
        <v>95</v>
      </c>
      <c r="S14" s="41" t="s">
        <v>66</v>
      </c>
      <c r="T14" s="41"/>
      <c r="U14" s="41" t="s">
        <v>73</v>
      </c>
      <c r="V14" s="41"/>
    </row>
    <row r="15" spans="2:22" x14ac:dyDescent="0.25">
      <c r="B15" t="str">
        <f t="shared" si="0"/>
        <v>TPUNDSL1</v>
      </c>
      <c r="C15" t="s">
        <v>74</v>
      </c>
      <c r="D15" t="s">
        <v>83</v>
      </c>
      <c r="E15">
        <v>2022</v>
      </c>
      <c r="F15" s="18">
        <v>0.1575</v>
      </c>
      <c r="G15">
        <v>50</v>
      </c>
      <c r="H15">
        <v>15</v>
      </c>
      <c r="I15" s="26">
        <f>1.08*24</f>
        <v>25.92</v>
      </c>
      <c r="J15" s="18">
        <v>0.24</v>
      </c>
      <c r="K15">
        <v>30</v>
      </c>
      <c r="L15">
        <v>1E-3</v>
      </c>
      <c r="N15" t="s">
        <v>62</v>
      </c>
      <c r="O15" s="41"/>
      <c r="P15" s="37" t="s">
        <v>88</v>
      </c>
      <c r="Q15" s="37" t="s">
        <v>80</v>
      </c>
      <c r="R15" s="41" t="s">
        <v>95</v>
      </c>
      <c r="S15" s="41" t="s">
        <v>66</v>
      </c>
      <c r="T15" s="41"/>
      <c r="U15" s="41" t="s">
        <v>73</v>
      </c>
      <c r="V15" s="41"/>
    </row>
    <row r="16" spans="2:22" x14ac:dyDescent="0.25">
      <c r="B16" s="27" t="str">
        <f t="shared" si="0"/>
        <v>TPUNLPG1</v>
      </c>
      <c r="C16" s="27" t="s">
        <v>75</v>
      </c>
      <c r="D16" s="27" t="s">
        <v>83</v>
      </c>
      <c r="E16" s="27">
        <v>2022</v>
      </c>
      <c r="F16" s="30">
        <v>0.10500000000000001</v>
      </c>
      <c r="G16" s="27">
        <v>50</v>
      </c>
      <c r="H16" s="27">
        <v>15</v>
      </c>
      <c r="I16" s="31">
        <f>1.08*23.25</f>
        <v>25.110000000000003</v>
      </c>
      <c r="J16" s="30">
        <v>0.24</v>
      </c>
      <c r="K16" s="27">
        <v>30</v>
      </c>
      <c r="L16" s="27">
        <v>1E-3</v>
      </c>
      <c r="N16" t="s">
        <v>62</v>
      </c>
      <c r="O16" s="41"/>
      <c r="P16" s="37" t="s">
        <v>87</v>
      </c>
      <c r="Q16" s="37" t="s">
        <v>81</v>
      </c>
      <c r="R16" s="41" t="s">
        <v>95</v>
      </c>
      <c r="S16" s="41" t="s">
        <v>66</v>
      </c>
      <c r="T16" s="41"/>
      <c r="U16" s="41" t="s">
        <v>73</v>
      </c>
      <c r="V16" s="41"/>
    </row>
    <row r="17" spans="2:22" x14ac:dyDescent="0.25">
      <c r="B17" s="28" t="str">
        <f t="shared" si="0"/>
        <v>TMOTNGSL1</v>
      </c>
      <c r="C17" s="28" t="s">
        <v>76</v>
      </c>
      <c r="D17" s="28" t="s">
        <v>100</v>
      </c>
      <c r="E17" s="28">
        <v>2022</v>
      </c>
      <c r="F17" s="29">
        <v>1.1000000000000001</v>
      </c>
      <c r="G17" s="28">
        <v>9</v>
      </c>
      <c r="H17" s="28">
        <v>1.2</v>
      </c>
      <c r="I17" s="28">
        <v>2.2000000000000002</v>
      </c>
      <c r="J17" s="29">
        <v>0.02</v>
      </c>
      <c r="K17" s="28">
        <v>10</v>
      </c>
      <c r="L17" s="45">
        <v>1E-3</v>
      </c>
      <c r="N17" t="s">
        <v>62</v>
      </c>
      <c r="P17" t="s">
        <v>107</v>
      </c>
      <c r="Q17" t="s">
        <v>117</v>
      </c>
      <c r="R17" t="s">
        <v>95</v>
      </c>
      <c r="S17" t="s">
        <v>66</v>
      </c>
      <c r="U17" t="s">
        <v>73</v>
      </c>
    </row>
    <row r="18" spans="2:22" x14ac:dyDescent="0.25">
      <c r="B18" t="str">
        <f t="shared" si="0"/>
        <v>TTRINLPG1</v>
      </c>
      <c r="C18" t="s">
        <v>75</v>
      </c>
      <c r="D18" t="s">
        <v>101</v>
      </c>
      <c r="E18">
        <v>2022</v>
      </c>
      <c r="F18" s="18">
        <v>0.68</v>
      </c>
      <c r="G18">
        <v>15</v>
      </c>
      <c r="H18">
        <v>2</v>
      </c>
      <c r="I18">
        <v>4</v>
      </c>
      <c r="J18" s="18">
        <v>0.04</v>
      </c>
      <c r="K18">
        <v>10</v>
      </c>
      <c r="L18">
        <v>1E-3</v>
      </c>
      <c r="N18" t="s">
        <v>62</v>
      </c>
      <c r="P18" t="s">
        <v>108</v>
      </c>
      <c r="Q18" t="s">
        <v>116</v>
      </c>
      <c r="R18" t="s">
        <v>95</v>
      </c>
      <c r="S18" t="s">
        <v>66</v>
      </c>
      <c r="U18" t="s">
        <v>73</v>
      </c>
    </row>
    <row r="19" spans="2:22" x14ac:dyDescent="0.25">
      <c r="B19" s="27" t="str">
        <f t="shared" si="0"/>
        <v>TTRINGSL1</v>
      </c>
      <c r="C19" s="27" t="s">
        <v>76</v>
      </c>
      <c r="D19" s="27" t="s">
        <v>101</v>
      </c>
      <c r="E19" s="27">
        <v>2022</v>
      </c>
      <c r="F19" s="30">
        <v>0.7</v>
      </c>
      <c r="G19" s="27">
        <v>14</v>
      </c>
      <c r="H19" s="27">
        <v>2</v>
      </c>
      <c r="I19" s="27">
        <v>3.8</v>
      </c>
      <c r="J19" s="30">
        <v>0.04</v>
      </c>
      <c r="K19" s="27">
        <v>10</v>
      </c>
      <c r="L19" s="27">
        <v>1E-3</v>
      </c>
      <c r="N19" t="s">
        <v>62</v>
      </c>
      <c r="P19" t="s">
        <v>109</v>
      </c>
      <c r="Q19" t="s">
        <v>117</v>
      </c>
      <c r="R19" t="s">
        <v>95</v>
      </c>
      <c r="S19" t="s">
        <v>66</v>
      </c>
      <c r="U19" t="s">
        <v>73</v>
      </c>
    </row>
    <row r="20" spans="2:22" x14ac:dyDescent="0.25">
      <c r="B20" t="str">
        <f t="shared" si="0"/>
        <v>TFRENDSL1</v>
      </c>
      <c r="C20" t="s">
        <v>74</v>
      </c>
      <c r="D20" s="41" t="s">
        <v>102</v>
      </c>
      <c r="E20">
        <v>2022</v>
      </c>
      <c r="F20" s="18">
        <v>0.4</v>
      </c>
      <c r="G20">
        <v>55</v>
      </c>
      <c r="H20">
        <v>12</v>
      </c>
      <c r="I20">
        <v>82</v>
      </c>
      <c r="J20" s="18">
        <v>1.1499999999999999</v>
      </c>
      <c r="K20">
        <v>30</v>
      </c>
      <c r="L20" s="25">
        <v>1E-3</v>
      </c>
      <c r="N20" t="s">
        <v>62</v>
      </c>
      <c r="P20" t="s">
        <v>110</v>
      </c>
      <c r="Q20" t="s">
        <v>115</v>
      </c>
      <c r="R20" t="s">
        <v>95</v>
      </c>
      <c r="S20" t="s">
        <v>66</v>
      </c>
      <c r="U20" t="s">
        <v>73</v>
      </c>
    </row>
    <row r="21" spans="2:22" x14ac:dyDescent="0.25">
      <c r="B21" s="27" t="str">
        <f t="shared" si="0"/>
        <v>TAVINKER1</v>
      </c>
      <c r="C21" s="27" t="s">
        <v>104</v>
      </c>
      <c r="D21" s="41" t="s">
        <v>103</v>
      </c>
      <c r="E21" s="27">
        <v>2022</v>
      </c>
      <c r="F21" s="27">
        <v>0.1</v>
      </c>
      <c r="G21" s="27">
        <v>65</v>
      </c>
      <c r="H21" s="27">
        <v>180</v>
      </c>
      <c r="I21" s="27">
        <v>50000</v>
      </c>
      <c r="J21" s="27">
        <v>70</v>
      </c>
      <c r="K21" s="27">
        <v>30</v>
      </c>
      <c r="L21" s="27">
        <v>1E-3</v>
      </c>
      <c r="N21" s="27" t="s">
        <v>62</v>
      </c>
      <c r="O21" s="27"/>
      <c r="P21" s="27" t="s">
        <v>111</v>
      </c>
      <c r="Q21" s="27" t="s">
        <v>118</v>
      </c>
      <c r="R21" s="27" t="s">
        <v>95</v>
      </c>
      <c r="S21" s="27" t="s">
        <v>66</v>
      </c>
      <c r="T21" s="27"/>
      <c r="U21" s="27" t="s">
        <v>73</v>
      </c>
      <c r="V21" s="27"/>
    </row>
    <row r="22" spans="2:22" x14ac:dyDescent="0.25">
      <c r="B22" t="str">
        <f t="shared" si="0"/>
        <v>TRAINDSL1</v>
      </c>
      <c r="C22" t="s">
        <v>74</v>
      </c>
      <c r="D22" s="44" t="s">
        <v>105</v>
      </c>
      <c r="E22">
        <v>2022</v>
      </c>
      <c r="F22">
        <v>0.26</v>
      </c>
      <c r="G22">
        <v>60</v>
      </c>
      <c r="H22">
        <v>400</v>
      </c>
      <c r="I22">
        <v>2100</v>
      </c>
      <c r="J22">
        <v>30</v>
      </c>
      <c r="K22">
        <v>30</v>
      </c>
      <c r="L22" s="25">
        <v>1E-3</v>
      </c>
      <c r="N22" t="s">
        <v>62</v>
      </c>
      <c r="P22" t="s">
        <v>112</v>
      </c>
      <c r="Q22" t="s">
        <v>115</v>
      </c>
      <c r="R22" t="s">
        <v>95</v>
      </c>
      <c r="S22" t="s">
        <v>66</v>
      </c>
      <c r="U22" t="s">
        <v>73</v>
      </c>
    </row>
    <row r="23" spans="2:22" x14ac:dyDescent="0.25">
      <c r="B23" t="str">
        <f t="shared" si="0"/>
        <v>TMARNDSL1</v>
      </c>
      <c r="C23" t="s">
        <v>74</v>
      </c>
      <c r="D23" s="41" t="s">
        <v>106</v>
      </c>
      <c r="E23">
        <v>2022</v>
      </c>
      <c r="F23">
        <v>0.32</v>
      </c>
      <c r="G23">
        <v>70</v>
      </c>
      <c r="H23">
        <v>1000</v>
      </c>
      <c r="I23">
        <v>6000</v>
      </c>
      <c r="J23">
        <v>88</v>
      </c>
      <c r="K23">
        <v>30</v>
      </c>
      <c r="L23">
        <v>1E-3</v>
      </c>
      <c r="N23" t="s">
        <v>62</v>
      </c>
      <c r="P23" t="s">
        <v>113</v>
      </c>
      <c r="Q23" t="s">
        <v>115</v>
      </c>
      <c r="R23" t="s">
        <v>95</v>
      </c>
      <c r="S23" t="s">
        <v>66</v>
      </c>
      <c r="U23" t="s">
        <v>73</v>
      </c>
    </row>
    <row r="24" spans="2:22" x14ac:dyDescent="0.25">
      <c r="B24" t="str">
        <f t="shared" si="0"/>
        <v>TMARNGSL1</v>
      </c>
      <c r="C24" t="s">
        <v>76</v>
      </c>
      <c r="D24" s="41" t="s">
        <v>106</v>
      </c>
      <c r="E24">
        <v>2022</v>
      </c>
      <c r="F24">
        <v>0.25</v>
      </c>
      <c r="G24">
        <v>60</v>
      </c>
      <c r="H24">
        <v>800</v>
      </c>
      <c r="I24">
        <v>5800</v>
      </c>
      <c r="J24">
        <v>82</v>
      </c>
      <c r="K24">
        <v>30</v>
      </c>
      <c r="L24">
        <v>1E-3</v>
      </c>
      <c r="N24" t="s">
        <v>62</v>
      </c>
      <c r="P24" t="s">
        <v>114</v>
      </c>
      <c r="Q24" t="s">
        <v>117</v>
      </c>
      <c r="R24" t="s">
        <v>95</v>
      </c>
      <c r="S24" t="s">
        <v>66</v>
      </c>
      <c r="U24" t="s">
        <v>73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34" bestFit="1" customWidth="1"/>
    <col min="2" max="12" width="9.109375" style="34"/>
    <col min="13" max="13" width="5" style="34" customWidth="1"/>
    <col min="14" max="15" width="2" style="34" bestFit="1" customWidth="1"/>
    <col min="16" max="26" width="9.109375" style="34"/>
    <col min="27" max="27" width="2" style="34" customWidth="1"/>
    <col min="28" max="28" width="2.33203125" style="34" bestFit="1" customWidth="1"/>
    <col min="29" max="16384" width="9.109375" style="34"/>
  </cols>
  <sheetData>
    <row r="2" spans="2:29" x14ac:dyDescent="0.25">
      <c r="B2" s="35" t="s">
        <v>84</v>
      </c>
      <c r="P2" s="35" t="s">
        <v>85</v>
      </c>
      <c r="AC2" s="35" t="s">
        <v>86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2026-06-04T02:13:33Z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